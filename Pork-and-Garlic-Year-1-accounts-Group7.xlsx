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University\Vadības grāmatvedība un uzņēmuma finanses\HW1\"/>
    </mc:Choice>
  </mc:AlternateContent>
  <xr:revisionPtr revIDLastSave="0" documentId="13_ncr:1_{3212E827-AE04-4FB4-A85F-664D23F7EC20}" xr6:coauthVersionLast="47" xr6:coauthVersionMax="47" xr10:uidLastSave="{00000000-0000-0000-0000-000000000000}"/>
  <bookViews>
    <workbookView xWindow="32010" yWindow="1335" windowWidth="21600" windowHeight="11295" xr2:uid="{00000000-000D-0000-FFFF-FFFF00000000}"/>
  </bookViews>
  <sheets>
    <sheet name="Year 1" sheetId="1" r:id="rId1"/>
    <sheet name="Rules" sheetId="2" r:id="rId2"/>
    <sheet name="Machines" sheetId="3" r:id="rId3"/>
    <sheet name="Loa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4" l="1"/>
  <c r="E29" i="4" s="1"/>
  <c r="D27" i="4"/>
  <c r="D29" i="4" s="1"/>
  <c r="C27" i="4"/>
  <c r="C29" i="4" s="1"/>
  <c r="B27" i="4"/>
  <c r="B29" i="4" s="1"/>
  <c r="E17" i="4"/>
  <c r="E19" i="4" s="1"/>
  <c r="D17" i="4"/>
  <c r="D19" i="4" s="1"/>
  <c r="C17" i="4"/>
  <c r="C19" i="4" s="1"/>
  <c r="B17" i="4"/>
  <c r="B19" i="4" s="1"/>
  <c r="B7" i="4"/>
  <c r="B9" i="4" s="1"/>
  <c r="K10" i="3"/>
  <c r="W10" i="3" s="1"/>
  <c r="J10" i="3"/>
  <c r="V10" i="3" s="1"/>
  <c r="I10" i="3"/>
  <c r="U10" i="3" s="1"/>
  <c r="H10" i="3"/>
  <c r="T10" i="3" s="1"/>
  <c r="G10" i="3"/>
  <c r="F10" i="3"/>
  <c r="E10" i="3"/>
  <c r="D10" i="3"/>
  <c r="K9" i="3"/>
  <c r="W9" i="3" s="1"/>
  <c r="J9" i="3"/>
  <c r="V9" i="3" s="1"/>
  <c r="I9" i="3"/>
  <c r="U9" i="3" s="1"/>
  <c r="H9" i="3"/>
  <c r="T9" i="3" s="1"/>
  <c r="G9" i="3"/>
  <c r="F9" i="3"/>
  <c r="E9" i="3"/>
  <c r="D9" i="3"/>
  <c r="K8" i="3"/>
  <c r="W8" i="3" s="1"/>
  <c r="J8" i="3"/>
  <c r="V8" i="3" s="1"/>
  <c r="I8" i="3"/>
  <c r="U8" i="3" s="1"/>
  <c r="H8" i="3"/>
  <c r="T8" i="3" s="1"/>
  <c r="G8" i="3"/>
  <c r="F8" i="3"/>
  <c r="E8" i="3"/>
  <c r="D8" i="3"/>
  <c r="K7" i="3"/>
  <c r="W7" i="3" s="1"/>
  <c r="J7" i="3"/>
  <c r="V7" i="3" s="1"/>
  <c r="I7" i="3"/>
  <c r="U7" i="3" s="1"/>
  <c r="H7" i="3"/>
  <c r="T7" i="3" s="1"/>
  <c r="G7" i="3"/>
  <c r="F7" i="3"/>
  <c r="E7" i="3"/>
  <c r="D7" i="3"/>
  <c r="K6" i="3"/>
  <c r="W6" i="3" s="1"/>
  <c r="J6" i="3"/>
  <c r="V6" i="3" s="1"/>
  <c r="I6" i="3"/>
  <c r="U6" i="3" s="1"/>
  <c r="H6" i="3"/>
  <c r="T6" i="3" s="1"/>
  <c r="G6" i="3"/>
  <c r="F6" i="3"/>
  <c r="E6" i="3"/>
  <c r="D6" i="3"/>
  <c r="K5" i="3"/>
  <c r="W5" i="3" s="1"/>
  <c r="J5" i="3"/>
  <c r="V5" i="3" s="1"/>
  <c r="I5" i="3"/>
  <c r="U5" i="3" s="1"/>
  <c r="H5" i="3"/>
  <c r="T5" i="3" s="1"/>
  <c r="G5" i="3"/>
  <c r="F5" i="3"/>
  <c r="E5" i="3"/>
  <c r="D5" i="3"/>
  <c r="D53" i="1"/>
  <c r="C53" i="1"/>
  <c r="B53" i="1"/>
  <c r="F53" i="1" s="1"/>
  <c r="E47" i="1"/>
  <c r="D47" i="1"/>
  <c r="C47" i="1"/>
  <c r="F47" i="1" s="1"/>
  <c r="B47" i="1"/>
  <c r="E46" i="1"/>
  <c r="D46" i="1"/>
  <c r="C46" i="1"/>
  <c r="B46" i="1"/>
  <c r="F46" i="1" s="1"/>
  <c r="E45" i="1"/>
  <c r="D45" i="1"/>
  <c r="C45" i="1"/>
  <c r="B45" i="1"/>
  <c r="F45" i="1" s="1"/>
  <c r="E44" i="1"/>
  <c r="D44" i="1"/>
  <c r="C44" i="1"/>
  <c r="B44" i="1"/>
  <c r="F44" i="1" s="1"/>
  <c r="E43" i="1"/>
  <c r="D43" i="1"/>
  <c r="C43" i="1"/>
  <c r="B43" i="1"/>
  <c r="B48" i="1" s="1"/>
  <c r="B36" i="1"/>
  <c r="E31" i="1"/>
  <c r="E53" i="1" s="1"/>
  <c r="D31" i="1"/>
  <c r="C31" i="1"/>
  <c r="B31" i="1"/>
  <c r="F31" i="1" s="1"/>
  <c r="E29" i="1"/>
  <c r="D29" i="1"/>
  <c r="C29" i="1"/>
  <c r="B29" i="1"/>
  <c r="F29" i="1" s="1"/>
  <c r="E24" i="1"/>
  <c r="D24" i="1"/>
  <c r="C24" i="1"/>
  <c r="B24" i="1"/>
  <c r="E21" i="1"/>
  <c r="D21" i="1"/>
  <c r="C21" i="1"/>
  <c r="E17" i="1"/>
  <c r="D17" i="1"/>
  <c r="C17" i="1"/>
  <c r="B17" i="1"/>
  <c r="E15" i="1"/>
  <c r="D15" i="1"/>
  <c r="C15" i="1"/>
  <c r="B15" i="1"/>
  <c r="E14" i="1"/>
  <c r="E32" i="1" s="1"/>
  <c r="E50" i="1" s="1"/>
  <c r="D14" i="1"/>
  <c r="D32" i="1" s="1"/>
  <c r="D50" i="1" s="1"/>
  <c r="C14" i="1"/>
  <c r="B14" i="1"/>
  <c r="B32" i="1" s="1"/>
  <c r="E16" i="1" l="1"/>
  <c r="E18" i="1" s="1"/>
  <c r="F14" i="1"/>
  <c r="E48" i="1"/>
  <c r="F24" i="1"/>
  <c r="C32" i="1"/>
  <c r="C50" i="1" s="1"/>
  <c r="E19" i="1"/>
  <c r="E20" i="1" s="1"/>
  <c r="B50" i="1"/>
  <c r="F50" i="1" s="1"/>
  <c r="F32" i="1"/>
  <c r="B11" i="4"/>
  <c r="C7" i="4" s="1"/>
  <c r="B21" i="4"/>
  <c r="B31" i="4"/>
  <c r="C21" i="4"/>
  <c r="C31" i="4"/>
  <c r="D48" i="1"/>
  <c r="D21" i="4"/>
  <c r="D31" i="4"/>
  <c r="C48" i="1"/>
  <c r="E21" i="4"/>
  <c r="E31" i="4"/>
  <c r="C16" i="1"/>
  <c r="C18" i="1" s="1"/>
  <c r="L5" i="3"/>
  <c r="L6" i="3"/>
  <c r="L7" i="3"/>
  <c r="L8" i="3"/>
  <c r="L9" i="3"/>
  <c r="L10" i="3"/>
  <c r="B16" i="1"/>
  <c r="B18" i="1" s="1"/>
  <c r="D16" i="1"/>
  <c r="D18" i="1" s="1"/>
  <c r="M5" i="3"/>
  <c r="M6" i="3"/>
  <c r="M7" i="3"/>
  <c r="M8" i="3"/>
  <c r="M9" i="3"/>
  <c r="M10" i="3"/>
  <c r="N9" i="3"/>
  <c r="O5" i="3"/>
  <c r="O6" i="3"/>
  <c r="O7" i="3"/>
  <c r="O8" i="3"/>
  <c r="O10" i="3"/>
  <c r="P5" i="3"/>
  <c r="P6" i="3"/>
  <c r="P7" i="3"/>
  <c r="P8" i="3"/>
  <c r="P9" i="3"/>
  <c r="P10" i="3"/>
  <c r="B8" i="4"/>
  <c r="B18" i="4"/>
  <c r="B20" i="4" s="1"/>
  <c r="B28" i="4"/>
  <c r="B30" i="4" s="1"/>
  <c r="Q5" i="3"/>
  <c r="Q6" i="3"/>
  <c r="Q7" i="3"/>
  <c r="Q8" i="3"/>
  <c r="Q9" i="3"/>
  <c r="Q10" i="3"/>
  <c r="C18" i="4"/>
  <c r="C20" i="4" s="1"/>
  <c r="C28" i="4"/>
  <c r="C30" i="4" s="1"/>
  <c r="N5" i="3"/>
  <c r="N6" i="3"/>
  <c r="N7" i="3"/>
  <c r="N8" i="3"/>
  <c r="N10" i="3"/>
  <c r="O9" i="3"/>
  <c r="R5" i="3"/>
  <c r="R6" i="3"/>
  <c r="R7" i="3"/>
  <c r="R8" i="3"/>
  <c r="R9" i="3"/>
  <c r="R10" i="3"/>
  <c r="D18" i="4"/>
  <c r="D20" i="4" s="1"/>
  <c r="D28" i="4"/>
  <c r="D30" i="4" s="1"/>
  <c r="S5" i="3"/>
  <c r="S6" i="3"/>
  <c r="S7" i="3"/>
  <c r="S8" i="3"/>
  <c r="S9" i="3"/>
  <c r="S10" i="3"/>
  <c r="E18" i="4"/>
  <c r="E20" i="4" s="1"/>
  <c r="E28" i="4"/>
  <c r="E30" i="4" s="1"/>
  <c r="C19" i="1" l="1"/>
  <c r="C9" i="4"/>
  <c r="C11" i="4" s="1"/>
  <c r="D7" i="4" s="1"/>
  <c r="C8" i="4"/>
  <c r="S11" i="3"/>
  <c r="E26" i="1" s="1"/>
  <c r="R11" i="3"/>
  <c r="D26" i="1" s="1"/>
  <c r="E23" i="1"/>
  <c r="E28" i="1"/>
  <c r="E52" i="1" s="1"/>
  <c r="N11" i="3"/>
  <c r="D25" i="1" s="1"/>
  <c r="D51" i="1" s="1"/>
  <c r="O11" i="3"/>
  <c r="E25" i="1" s="1"/>
  <c r="E51" i="1" s="1"/>
  <c r="F18" i="1"/>
  <c r="B19" i="1"/>
  <c r="Q11" i="3"/>
  <c r="C26" i="1" s="1"/>
  <c r="D19" i="1"/>
  <c r="D20" i="1" s="1"/>
  <c r="P11" i="3"/>
  <c r="B26" i="1" s="1"/>
  <c r="F26" i="1" s="1"/>
  <c r="M11" i="3"/>
  <c r="C25" i="1" s="1"/>
  <c r="C51" i="1" s="1"/>
  <c r="B34" i="4"/>
  <c r="B33" i="1" s="1"/>
  <c r="B10" i="4"/>
  <c r="B35" i="4" s="1"/>
  <c r="L11" i="3"/>
  <c r="B25" i="1" s="1"/>
  <c r="D9" i="4" l="1"/>
  <c r="D8" i="4"/>
  <c r="D11" i="4"/>
  <c r="E7" i="4" s="1"/>
  <c r="B51" i="1"/>
  <c r="F51" i="1" s="1"/>
  <c r="F25" i="1"/>
  <c r="E27" i="1"/>
  <c r="E49" i="1"/>
  <c r="C23" i="1"/>
  <c r="C28" i="1"/>
  <c r="C52" i="1" s="1"/>
  <c r="D23" i="1"/>
  <c r="D28" i="1"/>
  <c r="D52" i="1" s="1"/>
  <c r="B28" i="1"/>
  <c r="B23" i="1"/>
  <c r="F19" i="1"/>
  <c r="B21" i="1"/>
  <c r="B20" i="1"/>
  <c r="F20" i="1" s="1"/>
  <c r="C34" i="4"/>
  <c r="C33" i="1" s="1"/>
  <c r="C10" i="4"/>
  <c r="C35" i="4" s="1"/>
  <c r="B55" i="1"/>
  <c r="B36" i="4"/>
  <c r="C20" i="1"/>
  <c r="C55" i="1" l="1"/>
  <c r="C36" i="4"/>
  <c r="E30" i="1"/>
  <c r="E54" i="1" s="1"/>
  <c r="E9" i="4"/>
  <c r="E11" i="4" s="1"/>
  <c r="E8" i="4"/>
  <c r="B52" i="1"/>
  <c r="F52" i="1" s="1"/>
  <c r="F28" i="1"/>
  <c r="C27" i="1"/>
  <c r="C49" i="1"/>
  <c r="D34" i="4"/>
  <c r="D33" i="1" s="1"/>
  <c r="D10" i="4"/>
  <c r="D35" i="4" s="1"/>
  <c r="F23" i="1"/>
  <c r="B27" i="1"/>
  <c r="B49" i="1"/>
  <c r="D27" i="1"/>
  <c r="D49" i="1"/>
  <c r="F27" i="1" l="1"/>
  <c r="B30" i="1"/>
  <c r="D30" i="1"/>
  <c r="D54" i="1" s="1"/>
  <c r="D36" i="4"/>
  <c r="D55" i="1"/>
  <c r="C30" i="1"/>
  <c r="C54" i="1" s="1"/>
  <c r="E34" i="4"/>
  <c r="E33" i="1" s="1"/>
  <c r="E34" i="1" s="1"/>
  <c r="E10" i="4"/>
  <c r="E35" i="4" s="1"/>
  <c r="F49" i="1"/>
  <c r="E37" i="1" l="1"/>
  <c r="E38" i="1" s="1"/>
  <c r="E39" i="1" s="1"/>
  <c r="F30" i="1"/>
  <c r="B54" i="1"/>
  <c r="E36" i="4"/>
  <c r="E55" i="1"/>
  <c r="C34" i="1"/>
  <c r="D34" i="1"/>
  <c r="B34" i="1"/>
  <c r="F33" i="1"/>
  <c r="E56" i="1" l="1"/>
  <c r="E41" i="1"/>
  <c r="E59" i="1" s="1"/>
  <c r="E57" i="1"/>
  <c r="B37" i="1"/>
  <c r="B40" i="1" s="1"/>
  <c r="C36" i="1" s="1"/>
  <c r="F34" i="1"/>
  <c r="C37" i="1"/>
  <c r="C38" i="1"/>
  <c r="C39" i="1" s="1"/>
  <c r="C56" i="1" s="1"/>
  <c r="C57" i="1" s="1"/>
  <c r="F55" i="1"/>
  <c r="D37" i="1"/>
  <c r="D38" i="1" s="1"/>
  <c r="D39" i="1" s="1"/>
  <c r="F54" i="1"/>
  <c r="B38" i="1" l="1"/>
  <c r="B39" i="1" s="1"/>
  <c r="B41" i="1" s="1"/>
  <c r="D56" i="1"/>
  <c r="D57" i="1" s="1"/>
  <c r="D41" i="1"/>
  <c r="D59" i="1" s="1"/>
  <c r="B59" i="1"/>
  <c r="C41" i="1"/>
  <c r="C59" i="1" s="1"/>
  <c r="C60" i="1" s="1"/>
  <c r="F39" i="1"/>
  <c r="B56" i="1"/>
  <c r="C40" i="1"/>
  <c r="D36" i="1" s="1"/>
  <c r="D40" i="1" s="1"/>
  <c r="E36" i="1" s="1"/>
  <c r="E40" i="1" s="1"/>
  <c r="E60" i="1"/>
  <c r="D60" i="1" l="1"/>
  <c r="F56" i="1"/>
  <c r="B57" i="1"/>
  <c r="F41" i="1"/>
  <c r="B60" i="1"/>
</calcChain>
</file>

<file path=xl/sharedStrings.xml><?xml version="1.0" encoding="utf-8"?>
<sst xmlns="http://schemas.openxmlformats.org/spreadsheetml/2006/main" count="185" uniqueCount="147">
  <si>
    <t>Pork &amp; Garlic Ice Cream Co. — Year 1</t>
  </si>
  <si>
    <t>Group 7. Blue = you type it. Black = formula. Green = pulled from another sheet. Yellow = fill this in each season.</t>
  </si>
  <si>
    <t>Winter</t>
  </si>
  <si>
    <t>Spring</t>
  </si>
  <si>
    <t>Summer</t>
  </si>
  <si>
    <t>Autumn</t>
  </si>
  <si>
    <t>Year 1 total</t>
  </si>
  <si>
    <t>DECISIONS — what the team chose</t>
  </si>
  <si>
    <t>Premise rented (A-F)</t>
  </si>
  <si>
    <t>D</t>
  </si>
  <si>
    <t>Planned production (units)</t>
  </si>
  <si>
    <t>Milk bought (tons)</t>
  </si>
  <si>
    <t>Market investment (Sh)</t>
  </si>
  <si>
    <t>Ice creams requested</t>
  </si>
  <si>
    <t>Ice creams ALLOCATED by the trainer</t>
  </si>
  <si>
    <t>Machines bought this season (Sh cash)</t>
  </si>
  <si>
    <t>WHAT THE DECISIONS PRODUCE</t>
  </si>
  <si>
    <t>Rent</t>
  </si>
  <si>
    <t>Transport rate (Sh per unit sold)</t>
  </si>
  <si>
    <t>Machine capacity available (units)</t>
  </si>
  <si>
    <t>Ice creams the milk allows</t>
  </si>
  <si>
    <t>PRODUCED (lowest of plan, capacity, milk)</t>
  </si>
  <si>
    <t>SOLD (lowest of allocation, request, production)</t>
  </si>
  <si>
    <t>SPOILED — thrown away at season end</t>
  </si>
  <si>
    <t>Fill rate (sold / requested)</t>
  </si>
  <si>
    <t>PROFIT &amp; LOSS</t>
  </si>
  <si>
    <t>Revenue</t>
  </si>
  <si>
    <t xml:space="preserve">    Cost of milk bought (spoiled portion included)</t>
  </si>
  <si>
    <t xml:space="preserve">    Machine maintenance</t>
  </si>
  <si>
    <t xml:space="preserve">    Machine depreciation</t>
  </si>
  <si>
    <t>GROSS PROFIT</t>
  </si>
  <si>
    <t xml:space="preserve">    Transport</t>
  </si>
  <si>
    <t xml:space="preserve">    Market investment</t>
  </si>
  <si>
    <t xml:space="preserve">    Bonus — 5% of gross profit when positive</t>
  </si>
  <si>
    <t xml:space="preserve">    Fixed salaries</t>
  </si>
  <si>
    <t xml:space="preserve">    Premise rent</t>
  </si>
  <si>
    <t xml:space="preserve">    Loan interest</t>
  </si>
  <si>
    <t>PROFIT BEFORE TAX</t>
  </si>
  <si>
    <t>TAX LOSS POOL</t>
  </si>
  <si>
    <t>Loss pool brought in</t>
  </si>
  <si>
    <t>Used against this season's profit</t>
  </si>
  <si>
    <t>Taxable profit</t>
  </si>
  <si>
    <t>Game tax — 10%</t>
  </si>
  <si>
    <t>Loss pool carried forward</t>
  </si>
  <si>
    <t>NET PROFIT FOR THE SEASON</t>
  </si>
  <si>
    <t>CASH FLOW</t>
  </si>
  <si>
    <t>Opening cash</t>
  </si>
  <si>
    <t xml:space="preserve">    Bank loan received</t>
  </si>
  <si>
    <t xml:space="preserve">    Machines bought</t>
  </si>
  <si>
    <t xml:space="preserve">    Milk (paid in advance)</t>
  </si>
  <si>
    <t xml:space="preserve">    Market investment (paid in advance)</t>
  </si>
  <si>
    <t>CASH BEFORE THE MARKET — must not be negative</t>
  </si>
  <si>
    <t xml:space="preserve">    Sales receipt</t>
  </si>
  <si>
    <t xml:space="preserve">    Bonus</t>
  </si>
  <si>
    <t xml:space="preserve">    Bank principal and interest</t>
  </si>
  <si>
    <t xml:space="preserve">    Game tax</t>
  </si>
  <si>
    <t>CLOSING CASH — must not be negative</t>
  </si>
  <si>
    <t>PROOF — cash must tie back to profit</t>
  </si>
  <si>
    <t>Opening + net profit + depreciation + loan - principal - machines</t>
  </si>
  <si>
    <t>Difference from closing cash (must be zero)</t>
  </si>
  <si>
    <t>Machine purchases and loan principal are cash only; depreciation is profit only. That is why this proof line exists — if it is not zero, the model is wrong.</t>
  </si>
  <si>
    <t>Year 1 rules and catalogue</t>
  </si>
  <si>
    <t>From the participant handout. Blue cells are the numbers the handout gives.</t>
  </si>
  <si>
    <t>CONSTANTS</t>
  </si>
  <si>
    <t>Starting cash (once, Year 1 winter)</t>
  </si>
  <si>
    <t>Selling price per ice cream</t>
  </si>
  <si>
    <t>Milk price per ton</t>
  </si>
  <si>
    <t>Ice creams per ton of milk</t>
  </si>
  <si>
    <t>Minimum milk purchase (tons/season)</t>
  </si>
  <si>
    <t>Minimum market investment</t>
  </si>
  <si>
    <t>Sales request block size</t>
  </si>
  <si>
    <t>Fixed salaries per season</t>
  </si>
  <si>
    <t>Bonus, % of gross profit when positive</t>
  </si>
  <si>
    <t>Game tax rate</t>
  </si>
  <si>
    <t>Loan interest per season</t>
  </si>
  <si>
    <t>Depreciation life (seasons)</t>
  </si>
  <si>
    <t>PREMISES</t>
  </si>
  <si>
    <t>Premise</t>
  </si>
  <si>
    <t>Machine slots</t>
  </si>
  <si>
    <t>Transport Sh/sold unit</t>
  </si>
  <si>
    <t>Rent Sh/season</t>
  </si>
  <si>
    <t>A</t>
  </si>
  <si>
    <t>B</t>
  </si>
  <si>
    <t>C</t>
  </si>
  <si>
    <t>E</t>
  </si>
  <si>
    <t>F</t>
  </si>
  <si>
    <t>MACHINES</t>
  </si>
  <si>
    <t>Machine</t>
  </si>
  <si>
    <t>Capacity units/season</t>
  </si>
  <si>
    <t>Purchase Sh</t>
  </si>
  <si>
    <t>Maintenance Sh/season</t>
  </si>
  <si>
    <t>Depreciation Sh/season</t>
  </si>
  <si>
    <t>M1</t>
  </si>
  <si>
    <t>M2</t>
  </si>
  <si>
    <t>M3</t>
  </si>
  <si>
    <t>M4</t>
  </si>
  <si>
    <t>M5</t>
  </si>
  <si>
    <t>M6</t>
  </si>
  <si>
    <t>DEMAND FORECAST (not a promise of sales)</t>
  </si>
  <si>
    <t>Season</t>
  </si>
  <si>
    <t>Year 1</t>
  </si>
  <si>
    <t>Year 2</t>
  </si>
  <si>
    <t>Year 3</t>
  </si>
  <si>
    <t>Machine register</t>
  </si>
  <si>
    <t>One row per machine copy owned. Enter the type and the season it was bought (1 = Y1 winter ... 4 = Y1 autumn). Leave the season blank if not owned.</t>
  </si>
  <si>
    <t>#</t>
  </si>
  <si>
    <t>Type</t>
  </si>
  <si>
    <t>Bought in season</t>
  </si>
  <si>
    <t>Price</t>
  </si>
  <si>
    <t>Capacity</t>
  </si>
  <si>
    <t>Maintenance/season</t>
  </si>
  <si>
    <t>Depreciation/season</t>
  </si>
  <si>
    <t>Owned in Winter</t>
  </si>
  <si>
    <t>Owned in Spring</t>
  </si>
  <si>
    <t>Owned in Summer</t>
  </si>
  <si>
    <t>Owned in Autumn</t>
  </si>
  <si>
    <t>Maint Winter</t>
  </si>
  <si>
    <t>Maint Spring</t>
  </si>
  <si>
    <t>Maint Summer</t>
  </si>
  <si>
    <t>Maint Autumn</t>
  </si>
  <si>
    <t>Depr Winter</t>
  </si>
  <si>
    <t>Depr Spring</t>
  </si>
  <si>
    <t>Depr Summer</t>
  </si>
  <si>
    <t>Depr Autumn</t>
  </si>
  <si>
    <t>Seasons left after Winter</t>
  </si>
  <si>
    <t>Seasons left after Spring</t>
  </si>
  <si>
    <t>Seasons left after Summer</t>
  </si>
  <si>
    <t>Seasons left after Autumn</t>
  </si>
  <si>
    <t>Total</t>
  </si>
  <si>
    <t>Group 7 owns one Machine 1, bought in Year 1 winter.</t>
  </si>
  <si>
    <t>Loan register</t>
  </si>
  <si>
    <t>Equal principal each season; interest is 10% of the debt standing immediately before that season's repayment; first payment falls in the season of borrowing.</t>
  </si>
  <si>
    <t>Loan 1</t>
  </si>
  <si>
    <t>Amount</t>
  </si>
  <si>
    <t>Term (seasons)</t>
  </si>
  <si>
    <t>Taken in season</t>
  </si>
  <si>
    <t>Debt before repayment</t>
  </si>
  <si>
    <t>Interest</t>
  </si>
  <si>
    <t>Principal</t>
  </si>
  <si>
    <t>Bank payment</t>
  </si>
  <si>
    <t>Debt after</t>
  </si>
  <si>
    <t>Loan 2</t>
  </si>
  <si>
    <t>Loan 3</t>
  </si>
  <si>
    <t>TOTAL interest (to the P&amp;L)</t>
  </si>
  <si>
    <t>TOTAL bank payment (cash only)</t>
  </si>
  <si>
    <t>TOTAL principal (cash only)</t>
  </si>
  <si>
    <t>Group 7 borrowed Sh 50,000 in Year 1 winter. TERM IS THE TEAM'S OWN CHOICE (1-8 seasons) - check your decision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</si>
</sst>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0.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b/>
      <u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08000"/>
      <name val="Arial"/>
    </font>
    <font>
      <i/>
      <sz val="10"/>
      <color rgb="FFC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6" fillId="2" borderId="0" xfId="0" applyFont="1" applyFill="1" applyAlignment="1">
      <alignment horizontal="center"/>
    </xf>
    <xf numFmtId="0" fontId="3" fillId="4" borderId="0" xfId="0" applyFont="1" applyFill="1"/>
    <xf numFmtId="0" fontId="0" fillId="4" borderId="0" xfId="0" applyFill="1"/>
    <xf numFmtId="0" fontId="4" fillId="0" borderId="0" xfId="0" applyFont="1"/>
    <xf numFmtId="49" fontId="5" fillId="3" borderId="1" xfId="0" applyNumberFormat="1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4" fontId="8" fillId="0" borderId="0" xfId="0" applyNumberFormat="1" applyFont="1"/>
    <xf numFmtId="164" fontId="7" fillId="0" borderId="0" xfId="0" applyNumberFormat="1" applyFont="1"/>
    <xf numFmtId="165" fontId="8" fillId="0" borderId="0" xfId="0" applyNumberFormat="1" applyFont="1"/>
    <xf numFmtId="164" fontId="4" fillId="0" borderId="0" xfId="0" applyNumberFormat="1" applyFont="1"/>
    <xf numFmtId="0" fontId="7" fillId="0" borderId="0" xfId="0" applyFont="1"/>
    <xf numFmtId="166" fontId="4" fillId="0" borderId="0" xfId="0" applyNumberFormat="1" applyFont="1"/>
    <xf numFmtId="0" fontId="7" fillId="5" borderId="0" xfId="0" applyFont="1" applyFill="1"/>
    <xf numFmtId="164" fontId="7" fillId="5" borderId="2" xfId="0" applyNumberFormat="1" applyFont="1" applyFill="1" applyBorder="1"/>
    <xf numFmtId="164" fontId="7" fillId="3" borderId="0" xfId="0" applyNumberFormat="1" applyFont="1" applyFill="1"/>
    <xf numFmtId="0" fontId="3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" fontId="5" fillId="0" borderId="0" xfId="0" applyNumberFormat="1" applyFont="1"/>
    <xf numFmtId="0" fontId="6" fillId="2" borderId="0" xfId="0" applyFont="1" applyFill="1"/>
    <xf numFmtId="0" fontId="7" fillId="0" borderId="1" xfId="0" applyFont="1" applyBorder="1"/>
    <xf numFmtId="0" fontId="5" fillId="0" borderId="1" xfId="0" applyFont="1" applyBorder="1"/>
    <xf numFmtId="165" fontId="5" fillId="0" borderId="1" xfId="0" applyNumberFormat="1" applyFont="1" applyBorder="1"/>
    <xf numFmtId="164" fontId="5" fillId="0" borderId="1" xfId="0" applyNumberFormat="1" applyFont="1" applyBorder="1"/>
    <xf numFmtId="0" fontId="6" fillId="2" borderId="0" xfId="0" applyFont="1" applyFill="1" applyAlignment="1">
      <alignment vertical="center" wrapText="1"/>
    </xf>
    <xf numFmtId="0" fontId="5" fillId="3" borderId="1" xfId="0" applyFont="1" applyFill="1" applyBorder="1"/>
    <xf numFmtId="1" fontId="4" fillId="0" borderId="0" xfId="0" applyNumberFormat="1" applyFont="1"/>
    <xf numFmtId="164" fontId="7" fillId="0" borderId="2" xfId="0" applyNumberFormat="1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2" customWidth="1"/>
    <col min="2" max="6" width="15" customWidth="1"/>
  </cols>
  <sheetData>
    <row r="1" spans="1:6" ht="18" x14ac:dyDescent="0.25">
      <c r="A1" s="1" t="s">
        <v>0</v>
      </c>
    </row>
    <row r="2" spans="1:6" x14ac:dyDescent="0.25">
      <c r="A2" s="2" t="s">
        <v>1</v>
      </c>
    </row>
    <row r="4" spans="1:6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25">
      <c r="A5" s="4" t="s">
        <v>7</v>
      </c>
      <c r="B5" s="5"/>
      <c r="C5" s="5"/>
      <c r="D5" s="5"/>
      <c r="E5" s="5"/>
      <c r="F5" s="5"/>
    </row>
    <row r="6" spans="1:6" x14ac:dyDescent="0.25">
      <c r="A6" s="6" t="s">
        <v>8</v>
      </c>
      <c r="B6" s="7" t="s">
        <v>9</v>
      </c>
      <c r="C6" s="7"/>
      <c r="D6" s="7"/>
      <c r="E6" s="7"/>
    </row>
    <row r="7" spans="1:6" x14ac:dyDescent="0.25">
      <c r="A7" s="6" t="s">
        <v>10</v>
      </c>
      <c r="B7" s="8">
        <v>70000</v>
      </c>
      <c r="C7" s="8"/>
      <c r="D7" s="8"/>
      <c r="E7" s="8"/>
    </row>
    <row r="8" spans="1:6" x14ac:dyDescent="0.25">
      <c r="A8" s="6" t="s">
        <v>11</v>
      </c>
      <c r="B8" s="9">
        <v>3.5</v>
      </c>
      <c r="C8" s="9"/>
      <c r="D8" s="9"/>
      <c r="E8" s="9"/>
    </row>
    <row r="9" spans="1:6" x14ac:dyDescent="0.25">
      <c r="A9" s="6" t="s">
        <v>12</v>
      </c>
      <c r="B9" s="8">
        <v>5000</v>
      </c>
      <c r="C9" s="8"/>
      <c r="D9" s="8"/>
      <c r="E9" s="8"/>
    </row>
    <row r="10" spans="1:6" x14ac:dyDescent="0.25">
      <c r="A10" s="6" t="s">
        <v>13</v>
      </c>
      <c r="B10" s="8">
        <v>70000</v>
      </c>
      <c r="C10" s="8"/>
      <c r="D10" s="8"/>
      <c r="E10" s="8"/>
    </row>
    <row r="11" spans="1:6" x14ac:dyDescent="0.25">
      <c r="A11" s="6" t="s">
        <v>14</v>
      </c>
      <c r="B11" s="8">
        <v>20000</v>
      </c>
      <c r="C11" s="8"/>
      <c r="D11" s="8"/>
      <c r="E11" s="8"/>
    </row>
    <row r="12" spans="1:6" x14ac:dyDescent="0.25">
      <c r="A12" s="6" t="s">
        <v>15</v>
      </c>
      <c r="B12" s="8">
        <v>35000</v>
      </c>
      <c r="C12" s="8"/>
      <c r="D12" s="8"/>
      <c r="E12" s="8"/>
    </row>
    <row r="13" spans="1:6" x14ac:dyDescent="0.25">
      <c r="A13" s="4" t="s">
        <v>16</v>
      </c>
      <c r="B13" s="5"/>
      <c r="C13" s="5"/>
      <c r="D13" s="5"/>
      <c r="E13" s="5"/>
      <c r="F13" s="5"/>
    </row>
    <row r="14" spans="1:6" x14ac:dyDescent="0.25">
      <c r="A14" s="6" t="s">
        <v>17</v>
      </c>
      <c r="B14" s="10">
        <f>IFERROR(INDEX(Rules!$D$21:$D$26,MATCH(B6,Rules!$A$21:$A$26,0)),0)</f>
        <v>17000</v>
      </c>
      <c r="C14" s="10">
        <f>IFERROR(INDEX(Rules!$D$21:$D$26,MATCH(C6,Rules!$A$21:$A$26,0)),0)</f>
        <v>0</v>
      </c>
      <c r="D14" s="10">
        <f>IFERROR(INDEX(Rules!$D$21:$D$26,MATCH(D6,Rules!$A$21:$A$26,0)),0)</f>
        <v>0</v>
      </c>
      <c r="E14" s="10">
        <f>IFERROR(INDEX(Rules!$D$21:$D$26,MATCH(E6,Rules!$A$21:$A$26,0)),0)</f>
        <v>0</v>
      </c>
      <c r="F14" s="11">
        <f>SUM(B14:E14)</f>
        <v>17000</v>
      </c>
    </row>
    <row r="15" spans="1:6" x14ac:dyDescent="0.25">
      <c r="A15" s="6" t="s">
        <v>18</v>
      </c>
      <c r="B15" s="12">
        <f>IFERROR(INDEX(Rules!$C$21:$C$26,MATCH(B6,Rules!$A$21:$A$26,0)),0)</f>
        <v>0.1</v>
      </c>
      <c r="C15" s="12">
        <f>IFERROR(INDEX(Rules!$C$21:$C$26,MATCH(C6,Rules!$A$21:$A$26,0)),0)</f>
        <v>0</v>
      </c>
      <c r="D15" s="12">
        <f>IFERROR(INDEX(Rules!$C$21:$C$26,MATCH(D6,Rules!$A$21:$A$26,0)),0)</f>
        <v>0</v>
      </c>
      <c r="E15" s="12">
        <f>IFERROR(INDEX(Rules!$C$21:$C$26,MATCH(E6,Rules!$A$21:$A$26,0)),0)</f>
        <v>0</v>
      </c>
    </row>
    <row r="16" spans="1:6" x14ac:dyDescent="0.25">
      <c r="A16" s="6" t="s">
        <v>19</v>
      </c>
      <c r="B16" s="10">
        <f>SUMPRODUCT(Machines!H5:H10,Machines!$E$5:$E$10)</f>
        <v>72000</v>
      </c>
      <c r="C16" s="10">
        <f>SUMPRODUCT(Machines!I5:I10,Machines!$E$5:$E$10)</f>
        <v>72000</v>
      </c>
      <c r="D16" s="10">
        <f>SUMPRODUCT(Machines!J5:J10,Machines!$E$5:$E$10)</f>
        <v>72000</v>
      </c>
      <c r="E16" s="10">
        <f>SUMPRODUCT(Machines!K5:K10,Machines!$E$5:$E$10)</f>
        <v>72000</v>
      </c>
    </row>
    <row r="17" spans="1:6" x14ac:dyDescent="0.25">
      <c r="A17" s="6" t="s">
        <v>20</v>
      </c>
      <c r="B17" s="13">
        <f>B8*Rules!$B$8</f>
        <v>70000</v>
      </c>
      <c r="C17" s="13">
        <f>C8*Rules!$B$8</f>
        <v>0</v>
      </c>
      <c r="D17" s="13">
        <f>D8*Rules!$B$8</f>
        <v>0</v>
      </c>
      <c r="E17" s="13">
        <f>E8*Rules!$B$8</f>
        <v>0</v>
      </c>
    </row>
    <row r="18" spans="1:6" x14ac:dyDescent="0.25">
      <c r="A18" s="14" t="s">
        <v>21</v>
      </c>
      <c r="B18" s="11">
        <f>MIN(B7,B16,B17)</f>
        <v>70000</v>
      </c>
      <c r="C18" s="11">
        <f>MIN(C7,C16,C17)</f>
        <v>0</v>
      </c>
      <c r="D18" s="11">
        <f>MIN(D7,D16,D17)</f>
        <v>0</v>
      </c>
      <c r="E18" s="11">
        <f>MIN(E7,E16,E17)</f>
        <v>0</v>
      </c>
      <c r="F18" s="11">
        <f>SUM(B18:E18)</f>
        <v>70000</v>
      </c>
    </row>
    <row r="19" spans="1:6" x14ac:dyDescent="0.25">
      <c r="A19" s="14" t="s">
        <v>22</v>
      </c>
      <c r="B19" s="11">
        <f>MIN(B11,B10,B18)</f>
        <v>20000</v>
      </c>
      <c r="C19" s="11">
        <f>MIN(C11,C10,C18)</f>
        <v>0</v>
      </c>
      <c r="D19" s="11">
        <f>MIN(D11,D10,D18)</f>
        <v>0</v>
      </c>
      <c r="E19" s="11">
        <f>MIN(E11,E10,E18)</f>
        <v>0</v>
      </c>
      <c r="F19" s="11">
        <f>SUM(B19:E19)</f>
        <v>20000</v>
      </c>
    </row>
    <row r="20" spans="1:6" x14ac:dyDescent="0.25">
      <c r="A20" s="14" t="s">
        <v>23</v>
      </c>
      <c r="B20" s="11">
        <f>B18-B19</f>
        <v>50000</v>
      </c>
      <c r="C20" s="11">
        <f>C18-C19</f>
        <v>0</v>
      </c>
      <c r="D20" s="11">
        <f>D18-D19</f>
        <v>0</v>
      </c>
      <c r="E20" s="11">
        <f>E18-E19</f>
        <v>0</v>
      </c>
      <c r="F20" s="11">
        <f>SUM(B20:E20)</f>
        <v>50000</v>
      </c>
    </row>
    <row r="21" spans="1:6" x14ac:dyDescent="0.25">
      <c r="A21" s="6" t="s">
        <v>24</v>
      </c>
      <c r="B21" s="15">
        <f>IF(B10=0,0,B19/B10)</f>
        <v>0.2857142857142857</v>
      </c>
      <c r="C21" s="15">
        <f>IF(C10=0,0,C19/C10)</f>
        <v>0</v>
      </c>
      <c r="D21" s="15">
        <f>IF(D10=0,0,D19/D10)</f>
        <v>0</v>
      </c>
      <c r="E21" s="15">
        <f>IF(E10=0,0,E19/E10)</f>
        <v>0</v>
      </c>
    </row>
    <row r="22" spans="1:6" x14ac:dyDescent="0.25">
      <c r="A22" s="4" t="s">
        <v>25</v>
      </c>
      <c r="B22" s="5"/>
      <c r="C22" s="5"/>
      <c r="D22" s="5"/>
      <c r="E22" s="5"/>
      <c r="F22" s="5"/>
    </row>
    <row r="23" spans="1:6" x14ac:dyDescent="0.25">
      <c r="A23" s="6" t="s">
        <v>26</v>
      </c>
      <c r="B23" s="13">
        <f>ROUND(B19*Rules!$B$6,0)</f>
        <v>40000</v>
      </c>
      <c r="C23" s="13">
        <f>ROUND(C19*Rules!$B$6,0)</f>
        <v>0</v>
      </c>
      <c r="D23" s="13">
        <f>ROUND(D19*Rules!$B$6,0)</f>
        <v>0</v>
      </c>
      <c r="E23" s="13">
        <f>ROUND(E19*Rules!$B$6,0)</f>
        <v>0</v>
      </c>
      <c r="F23" s="11">
        <f t="shared" ref="F23:F34" si="0">SUM(B23:E23)</f>
        <v>40000</v>
      </c>
    </row>
    <row r="24" spans="1:6" x14ac:dyDescent="0.25">
      <c r="A24" s="6" t="s">
        <v>27</v>
      </c>
      <c r="B24" s="13">
        <f>-ROUND(B8*Rules!$B$7,0)</f>
        <v>-70000</v>
      </c>
      <c r="C24" s="13">
        <f>-ROUND(C8*Rules!$B$7,0)</f>
        <v>0</v>
      </c>
      <c r="D24" s="13">
        <f>-ROUND(D8*Rules!$B$7,0)</f>
        <v>0</v>
      </c>
      <c r="E24" s="13">
        <f>-ROUND(E8*Rules!$B$7,0)</f>
        <v>0</v>
      </c>
      <c r="F24" s="11">
        <f t="shared" si="0"/>
        <v>-70000</v>
      </c>
    </row>
    <row r="25" spans="1:6" x14ac:dyDescent="0.25">
      <c r="A25" s="6" t="s">
        <v>28</v>
      </c>
      <c r="B25" s="10">
        <f>-Machines!L11</f>
        <v>-1800</v>
      </c>
      <c r="C25" s="10">
        <f>-Machines!M11</f>
        <v>-1800</v>
      </c>
      <c r="D25" s="10">
        <f>-Machines!N11</f>
        <v>-1800</v>
      </c>
      <c r="E25" s="10">
        <f>-Machines!O11</f>
        <v>-1800</v>
      </c>
      <c r="F25" s="11">
        <f t="shared" si="0"/>
        <v>-7200</v>
      </c>
    </row>
    <row r="26" spans="1:6" x14ac:dyDescent="0.25">
      <c r="A26" s="6" t="s">
        <v>29</v>
      </c>
      <c r="B26" s="10">
        <f>-Machines!P11</f>
        <v>-4375</v>
      </c>
      <c r="C26" s="10">
        <f>-Machines!Q11</f>
        <v>-4375</v>
      </c>
      <c r="D26" s="10">
        <f>-Machines!R11</f>
        <v>-4375</v>
      </c>
      <c r="E26" s="10">
        <f>-Machines!S11</f>
        <v>-4375</v>
      </c>
      <c r="F26" s="11">
        <f t="shared" si="0"/>
        <v>-17500</v>
      </c>
    </row>
    <row r="27" spans="1:6" x14ac:dyDescent="0.25">
      <c r="A27" s="14" t="s">
        <v>30</v>
      </c>
      <c r="B27" s="11">
        <f>B23+B24+B25+B26</f>
        <v>-36175</v>
      </c>
      <c r="C27" s="11">
        <f>C23+C24+C25+C26</f>
        <v>-6175</v>
      </c>
      <c r="D27" s="11">
        <f>D23+D24+D25+D26</f>
        <v>-6175</v>
      </c>
      <c r="E27" s="11">
        <f>E23+E24+E25+E26</f>
        <v>-6175</v>
      </c>
      <c r="F27" s="11">
        <f t="shared" si="0"/>
        <v>-54700</v>
      </c>
    </row>
    <row r="28" spans="1:6" x14ac:dyDescent="0.25">
      <c r="A28" s="6" t="s">
        <v>31</v>
      </c>
      <c r="B28" s="13">
        <f>-ROUND(B19*B15,0)</f>
        <v>-2000</v>
      </c>
      <c r="C28" s="13">
        <f>-ROUND(C19*C15,0)</f>
        <v>0</v>
      </c>
      <c r="D28" s="13">
        <f>-ROUND(D19*D15,0)</f>
        <v>0</v>
      </c>
      <c r="E28" s="13">
        <f>-ROUND(E19*E15,0)</f>
        <v>0</v>
      </c>
      <c r="F28" s="11">
        <f t="shared" si="0"/>
        <v>-2000</v>
      </c>
    </row>
    <row r="29" spans="1:6" x14ac:dyDescent="0.25">
      <c r="A29" s="6" t="s">
        <v>32</v>
      </c>
      <c r="B29" s="13">
        <f>-B9</f>
        <v>-5000</v>
      </c>
      <c r="C29" s="13">
        <f>-C9</f>
        <v>0</v>
      </c>
      <c r="D29" s="13">
        <f>-D9</f>
        <v>0</v>
      </c>
      <c r="E29" s="13">
        <f>-E9</f>
        <v>0</v>
      </c>
      <c r="F29" s="11">
        <f t="shared" si="0"/>
        <v>-5000</v>
      </c>
    </row>
    <row r="30" spans="1:6" x14ac:dyDescent="0.25">
      <c r="A30" s="6" t="s">
        <v>33</v>
      </c>
      <c r="B30" s="13">
        <f>-IF(B27&gt;0,ROUND(B27*Rules!$B$13,0),0)</f>
        <v>0</v>
      </c>
      <c r="C30" s="13">
        <f>-IF(C27&gt;0,ROUND(C27*Rules!$B$13,0),0)</f>
        <v>0</v>
      </c>
      <c r="D30" s="13">
        <f>-IF(D27&gt;0,ROUND(D27*Rules!$B$13,0),0)</f>
        <v>0</v>
      </c>
      <c r="E30" s="13">
        <f>-IF(E27&gt;0,ROUND(E27*Rules!$B$13,0),0)</f>
        <v>0</v>
      </c>
      <c r="F30" s="11">
        <f t="shared" si="0"/>
        <v>0</v>
      </c>
    </row>
    <row r="31" spans="1:6" x14ac:dyDescent="0.25">
      <c r="A31" s="6" t="s">
        <v>34</v>
      </c>
      <c r="B31" s="13">
        <f>-Rules!$B$12</f>
        <v>-10000</v>
      </c>
      <c r="C31" s="13">
        <f>-Rules!$B$12</f>
        <v>-10000</v>
      </c>
      <c r="D31" s="13">
        <f>-Rules!$B$12</f>
        <v>-10000</v>
      </c>
      <c r="E31" s="13">
        <f>-Rules!$B$12</f>
        <v>-10000</v>
      </c>
      <c r="F31" s="11">
        <f t="shared" si="0"/>
        <v>-40000</v>
      </c>
    </row>
    <row r="32" spans="1:6" x14ac:dyDescent="0.25">
      <c r="A32" s="6" t="s">
        <v>35</v>
      </c>
      <c r="B32" s="13">
        <f>-B14</f>
        <v>-17000</v>
      </c>
      <c r="C32" s="13">
        <f>-C14</f>
        <v>0</v>
      </c>
      <c r="D32" s="13">
        <f>-D14</f>
        <v>0</v>
      </c>
      <c r="E32" s="13">
        <f>-E14</f>
        <v>0</v>
      </c>
      <c r="F32" s="11">
        <f t="shared" si="0"/>
        <v>-17000</v>
      </c>
    </row>
    <row r="33" spans="1:6" x14ac:dyDescent="0.25">
      <c r="A33" s="6" t="s">
        <v>36</v>
      </c>
      <c r="B33" s="10">
        <f>-Loans!B34</f>
        <v>-5000</v>
      </c>
      <c r="C33" s="10">
        <f>-Loans!C34</f>
        <v>-4375</v>
      </c>
      <c r="D33" s="10">
        <f>-Loans!D34</f>
        <v>-3750</v>
      </c>
      <c r="E33" s="10">
        <f>-Loans!E34</f>
        <v>-3125</v>
      </c>
      <c r="F33" s="11">
        <f t="shared" si="0"/>
        <v>-16250</v>
      </c>
    </row>
    <row r="34" spans="1:6" x14ac:dyDescent="0.25">
      <c r="A34" s="14" t="s">
        <v>37</v>
      </c>
      <c r="B34" s="11">
        <f>B27+B28+B29+B30+B31+B32+B33</f>
        <v>-75175</v>
      </c>
      <c r="C34" s="11">
        <f>C27+C28+C29+C30+C31+C32+C33</f>
        <v>-20550</v>
      </c>
      <c r="D34" s="11">
        <f>D27+D28+D29+D30+D31+D32+D33</f>
        <v>-19925</v>
      </c>
      <c r="E34" s="11">
        <f>E27+E28+E29+E30+E31+E32+E33</f>
        <v>-19300</v>
      </c>
      <c r="F34" s="11">
        <f t="shared" si="0"/>
        <v>-134950</v>
      </c>
    </row>
    <row r="35" spans="1:6" x14ac:dyDescent="0.25">
      <c r="A35" s="4" t="s">
        <v>38</v>
      </c>
      <c r="B35" s="5"/>
      <c r="C35" s="5"/>
      <c r="D35" s="5"/>
      <c r="E35" s="5"/>
      <c r="F35" s="5"/>
    </row>
    <row r="36" spans="1:6" x14ac:dyDescent="0.25">
      <c r="A36" s="6" t="s">
        <v>39</v>
      </c>
      <c r="B36" s="13">
        <f>0</f>
        <v>0</v>
      </c>
      <c r="C36" s="13">
        <f>B40</f>
        <v>75175</v>
      </c>
      <c r="D36" s="13">
        <f>C40</f>
        <v>95725</v>
      </c>
      <c r="E36" s="13">
        <f>D40</f>
        <v>115650</v>
      </c>
    </row>
    <row r="37" spans="1:6" x14ac:dyDescent="0.25">
      <c r="A37" s="6" t="s">
        <v>40</v>
      </c>
      <c r="B37" s="13">
        <f>IF(B34&gt;0,MIN(B34,B36),0)</f>
        <v>0</v>
      </c>
      <c r="C37" s="13">
        <f>IF(C34&gt;0,MIN(C34,C36),0)</f>
        <v>0</v>
      </c>
      <c r="D37" s="13">
        <f>IF(D34&gt;0,MIN(D34,D36),0)</f>
        <v>0</v>
      </c>
      <c r="E37" s="13">
        <f>IF(E34&gt;0,MIN(E34,E36),0)</f>
        <v>0</v>
      </c>
    </row>
    <row r="38" spans="1:6" x14ac:dyDescent="0.25">
      <c r="A38" s="6" t="s">
        <v>41</v>
      </c>
      <c r="B38" s="13">
        <f>MAX(B34-B37,0)</f>
        <v>0</v>
      </c>
      <c r="C38" s="13">
        <f>MAX(C34-C37,0)</f>
        <v>0</v>
      </c>
      <c r="D38" s="13">
        <f>MAX(D34-D37,0)</f>
        <v>0</v>
      </c>
      <c r="E38" s="13">
        <f>MAX(E34-E37,0)</f>
        <v>0</v>
      </c>
    </row>
    <row r="39" spans="1:6" x14ac:dyDescent="0.25">
      <c r="A39" s="6" t="s">
        <v>42</v>
      </c>
      <c r="B39" s="13">
        <f>-ROUND(B38*Rules!$B$14,0)</f>
        <v>0</v>
      </c>
      <c r="C39" s="13">
        <f>-ROUND(C38*Rules!$B$14,0)</f>
        <v>0</v>
      </c>
      <c r="D39" s="13">
        <f>-ROUND(D38*Rules!$B$14,0)</f>
        <v>0</v>
      </c>
      <c r="E39" s="13">
        <f>-ROUND(E38*Rules!$B$14,0)</f>
        <v>0</v>
      </c>
      <c r="F39" s="11">
        <f>SUM(B39:E39)</f>
        <v>0</v>
      </c>
    </row>
    <row r="40" spans="1:6" x14ac:dyDescent="0.25">
      <c r="A40" s="6" t="s">
        <v>43</v>
      </c>
      <c r="B40" s="11">
        <f>B36-B37+IF(B34&lt;0,-B34,0)</f>
        <v>75175</v>
      </c>
      <c r="C40" s="11">
        <f>C36-C37+IF(C34&lt;0,-C34,0)</f>
        <v>95725</v>
      </c>
      <c r="D40" s="11">
        <f>D36-D37+IF(D34&lt;0,-D34,0)</f>
        <v>115650</v>
      </c>
      <c r="E40" s="11">
        <f>E36-E37+IF(E34&lt;0,-E34,0)</f>
        <v>134950</v>
      </c>
    </row>
    <row r="41" spans="1:6" x14ac:dyDescent="0.25">
      <c r="A41" s="16" t="s">
        <v>44</v>
      </c>
      <c r="B41" s="17">
        <f>B34+B39</f>
        <v>-75175</v>
      </c>
      <c r="C41" s="17">
        <f>C34+C39</f>
        <v>-20550</v>
      </c>
      <c r="D41" s="17">
        <f>D34+D39</f>
        <v>-19925</v>
      </c>
      <c r="E41" s="17">
        <f>E34+E39</f>
        <v>-19300</v>
      </c>
      <c r="F41" s="17">
        <f>SUM(B41:E41)</f>
        <v>-134950</v>
      </c>
    </row>
    <row r="42" spans="1:6" x14ac:dyDescent="0.25">
      <c r="A42" s="4" t="s">
        <v>45</v>
      </c>
      <c r="B42" s="5"/>
      <c r="C42" s="5"/>
      <c r="D42" s="5"/>
      <c r="E42" s="5"/>
      <c r="F42" s="5"/>
    </row>
    <row r="43" spans="1:6" x14ac:dyDescent="0.25">
      <c r="A43" s="14" t="s">
        <v>46</v>
      </c>
      <c r="B43" s="11">
        <f>Rules!$B$5</f>
        <v>100000</v>
      </c>
      <c r="C43" s="11">
        <f>B58</f>
        <v>0</v>
      </c>
      <c r="D43" s="11">
        <f>C58</f>
        <v>0</v>
      </c>
      <c r="E43" s="11">
        <f>D58</f>
        <v>0</v>
      </c>
    </row>
    <row r="44" spans="1:6" x14ac:dyDescent="0.25">
      <c r="A44" s="6" t="s">
        <v>47</v>
      </c>
      <c r="B44" s="10">
        <f>SUMIF(Loans!$F$5:$F$25,1,Loans!$B$5:$B$25)</f>
        <v>50000</v>
      </c>
      <c r="C44" s="10">
        <f>SUMIF(Loans!$F$5:$F$25,2,Loans!$B$5:$B$25)</f>
        <v>0</v>
      </c>
      <c r="D44" s="10">
        <f>SUMIF(Loans!$F$5:$F$25,3,Loans!$B$5:$B$25)</f>
        <v>0</v>
      </c>
      <c r="E44" s="10">
        <f>SUMIF(Loans!$F$5:$F$25,4,Loans!$B$5:$B$25)</f>
        <v>0</v>
      </c>
      <c r="F44" s="11">
        <f>SUM(B44:E44)</f>
        <v>50000</v>
      </c>
    </row>
    <row r="45" spans="1:6" x14ac:dyDescent="0.25">
      <c r="A45" s="6" t="s">
        <v>48</v>
      </c>
      <c r="B45" s="13">
        <f>-B12</f>
        <v>-35000</v>
      </c>
      <c r="C45" s="13">
        <f>-C12</f>
        <v>0</v>
      </c>
      <c r="D45" s="13">
        <f>-D12</f>
        <v>0</v>
      </c>
      <c r="E45" s="13">
        <f>-E12</f>
        <v>0</v>
      </c>
      <c r="F45" s="11">
        <f>SUM(B45:E45)</f>
        <v>-35000</v>
      </c>
    </row>
    <row r="46" spans="1:6" x14ac:dyDescent="0.25">
      <c r="A46" s="6" t="s">
        <v>49</v>
      </c>
      <c r="B46" s="13">
        <f>-ROUND(B8*Rules!$B$7,0)</f>
        <v>-70000</v>
      </c>
      <c r="C46" s="13">
        <f>-ROUND(C8*Rules!$B$7,0)</f>
        <v>0</v>
      </c>
      <c r="D46" s="13">
        <f>-ROUND(D8*Rules!$B$7,0)</f>
        <v>0</v>
      </c>
      <c r="E46" s="13">
        <f>-ROUND(E8*Rules!$B$7,0)</f>
        <v>0</v>
      </c>
      <c r="F46" s="11">
        <f>SUM(B46:E46)</f>
        <v>-70000</v>
      </c>
    </row>
    <row r="47" spans="1:6" x14ac:dyDescent="0.25">
      <c r="A47" s="6" t="s">
        <v>50</v>
      </c>
      <c r="B47" s="13">
        <f>-B9</f>
        <v>-5000</v>
      </c>
      <c r="C47" s="13">
        <f>-C9</f>
        <v>0</v>
      </c>
      <c r="D47" s="13">
        <f>-D9</f>
        <v>0</v>
      </c>
      <c r="E47" s="13">
        <f>-E9</f>
        <v>0</v>
      </c>
      <c r="F47" s="11">
        <f>SUM(B47:E47)</f>
        <v>-5000</v>
      </c>
    </row>
    <row r="48" spans="1:6" x14ac:dyDescent="0.25">
      <c r="A48" s="14" t="s">
        <v>51</v>
      </c>
      <c r="B48" s="11">
        <f>B43+B44+B45+B46+B47</f>
        <v>40000</v>
      </c>
      <c r="C48" s="11">
        <f>C43+C44+C45+C46+C47</f>
        <v>0</v>
      </c>
      <c r="D48" s="11">
        <f>D43+D44+D45+D46+D47</f>
        <v>0</v>
      </c>
      <c r="E48" s="11">
        <f>E43+E44+E45+E46+E47</f>
        <v>0</v>
      </c>
    </row>
    <row r="49" spans="1:6" x14ac:dyDescent="0.25">
      <c r="A49" s="6" t="s">
        <v>52</v>
      </c>
      <c r="B49" s="13">
        <f>B23</f>
        <v>40000</v>
      </c>
      <c r="C49" s="13">
        <f>C23</f>
        <v>0</v>
      </c>
      <c r="D49" s="13">
        <f>D23</f>
        <v>0</v>
      </c>
      <c r="E49" s="13">
        <f>E23</f>
        <v>0</v>
      </c>
      <c r="F49" s="11">
        <f t="shared" ref="F49:F56" si="1">SUM(B49:E49)</f>
        <v>40000</v>
      </c>
    </row>
    <row r="50" spans="1:6" x14ac:dyDescent="0.25">
      <c r="A50" s="6" t="s">
        <v>35</v>
      </c>
      <c r="B50" s="13">
        <f>B32</f>
        <v>-17000</v>
      </c>
      <c r="C50" s="13">
        <f>C32</f>
        <v>0</v>
      </c>
      <c r="D50" s="13">
        <f>D32</f>
        <v>0</v>
      </c>
      <c r="E50" s="13">
        <f>E32</f>
        <v>0</v>
      </c>
      <c r="F50" s="11">
        <f t="shared" si="1"/>
        <v>-17000</v>
      </c>
    </row>
    <row r="51" spans="1:6" x14ac:dyDescent="0.25">
      <c r="A51" s="6" t="s">
        <v>28</v>
      </c>
      <c r="B51" s="13">
        <f>B25</f>
        <v>-1800</v>
      </c>
      <c r="C51" s="13">
        <f>C25</f>
        <v>-1800</v>
      </c>
      <c r="D51" s="13">
        <f>D25</f>
        <v>-1800</v>
      </c>
      <c r="E51" s="13">
        <f>E25</f>
        <v>-1800</v>
      </c>
      <c r="F51" s="11">
        <f t="shared" si="1"/>
        <v>-7200</v>
      </c>
    </row>
    <row r="52" spans="1:6" x14ac:dyDescent="0.25">
      <c r="A52" s="6" t="s">
        <v>31</v>
      </c>
      <c r="B52" s="13">
        <f>B28</f>
        <v>-2000</v>
      </c>
      <c r="C52" s="13">
        <f>C28</f>
        <v>0</v>
      </c>
      <c r="D52" s="13">
        <f>D28</f>
        <v>0</v>
      </c>
      <c r="E52" s="13">
        <f>E28</f>
        <v>0</v>
      </c>
      <c r="F52" s="11">
        <f t="shared" si="1"/>
        <v>-2000</v>
      </c>
    </row>
    <row r="53" spans="1:6" x14ac:dyDescent="0.25">
      <c r="A53" s="6" t="s">
        <v>34</v>
      </c>
      <c r="B53" s="13">
        <f>B31</f>
        <v>-10000</v>
      </c>
      <c r="C53" s="13">
        <f>C31</f>
        <v>-10000</v>
      </c>
      <c r="D53" s="13">
        <f>D31</f>
        <v>-10000</v>
      </c>
      <c r="E53" s="13">
        <f>E31</f>
        <v>-10000</v>
      </c>
      <c r="F53" s="11">
        <f t="shared" si="1"/>
        <v>-40000</v>
      </c>
    </row>
    <row r="54" spans="1:6" x14ac:dyDescent="0.25">
      <c r="A54" s="6" t="s">
        <v>53</v>
      </c>
      <c r="B54" s="13">
        <f>B30</f>
        <v>0</v>
      </c>
      <c r="C54" s="13">
        <f>C30</f>
        <v>0</v>
      </c>
      <c r="D54" s="13">
        <f>D30</f>
        <v>0</v>
      </c>
      <c r="E54" s="13">
        <f>E30</f>
        <v>0</v>
      </c>
      <c r="F54" s="11">
        <f t="shared" si="1"/>
        <v>0</v>
      </c>
    </row>
    <row r="55" spans="1:6" x14ac:dyDescent="0.25">
      <c r="A55" s="6" t="s">
        <v>54</v>
      </c>
      <c r="B55" s="10">
        <f>-Loans!B35</f>
        <v>-11250</v>
      </c>
      <c r="C55" s="10">
        <f>-Loans!C35</f>
        <v>-10625</v>
      </c>
      <c r="D55" s="10">
        <f>-Loans!D35</f>
        <v>-10000</v>
      </c>
      <c r="E55" s="10">
        <f>-Loans!E35</f>
        <v>-9375</v>
      </c>
      <c r="F55" s="11">
        <f t="shared" si="1"/>
        <v>-41250</v>
      </c>
    </row>
    <row r="56" spans="1:6" x14ac:dyDescent="0.25">
      <c r="A56" s="6" t="s">
        <v>55</v>
      </c>
      <c r="B56" s="13">
        <f>B39</f>
        <v>0</v>
      </c>
      <c r="C56" s="13">
        <f>C39</f>
        <v>0</v>
      </c>
      <c r="D56" s="13">
        <f>D39</f>
        <v>0</v>
      </c>
      <c r="E56" s="13">
        <f>E39</f>
        <v>0</v>
      </c>
      <c r="F56" s="11">
        <f t="shared" si="1"/>
        <v>0</v>
      </c>
    </row>
    <row r="57" spans="1:6" x14ac:dyDescent="0.25">
      <c r="A57" s="16" t="s">
        <v>56</v>
      </c>
      <c r="B57" s="17">
        <f>B48+B49+B50+B51+B52+B53+B54+B55+B56</f>
        <v>37950</v>
      </c>
      <c r="C57" s="17">
        <f>C48+C49+C50+C51+C52+C53+C54+C55+C56</f>
        <v>-22425</v>
      </c>
      <c r="D57" s="17">
        <f>D48+D49+D50+D51+D52+D53+D54+D55+D56</f>
        <v>-21800</v>
      </c>
      <c r="E57" s="17">
        <f>E48+E49+E50+E51+E52+E53+E54+E55+E56</f>
        <v>-21175</v>
      </c>
    </row>
    <row r="58" spans="1:6" x14ac:dyDescent="0.25">
      <c r="A58" s="4" t="s">
        <v>57</v>
      </c>
      <c r="B58" s="5"/>
      <c r="C58" s="5"/>
      <c r="D58" s="5"/>
      <c r="E58" s="5"/>
      <c r="F58" s="5"/>
    </row>
    <row r="59" spans="1:6" x14ac:dyDescent="0.25">
      <c r="A59" s="6" t="s">
        <v>58</v>
      </c>
      <c r="B59" s="13">
        <f>B43+B41-B26+B44-Loans!B36+B45</f>
        <v>37950</v>
      </c>
      <c r="C59" s="13">
        <f>C43+C41-C26+C44-Loans!C36+C45</f>
        <v>-22425</v>
      </c>
      <c r="D59" s="13">
        <f>D43+D41-D26+D44-Loans!D36+D45</f>
        <v>-21800</v>
      </c>
      <c r="E59" s="13">
        <f>E43+E41-E26+E44-Loans!E36+E45</f>
        <v>-21175</v>
      </c>
    </row>
    <row r="60" spans="1:6" x14ac:dyDescent="0.25">
      <c r="A60" s="14" t="s">
        <v>59</v>
      </c>
      <c r="B60" s="18">
        <f>B59-B57</f>
        <v>0</v>
      </c>
      <c r="C60" s="18">
        <f>C59-C57</f>
        <v>0</v>
      </c>
      <c r="D60" s="18">
        <f>D59-D57</f>
        <v>0</v>
      </c>
      <c r="E60" s="18">
        <f>E59-E57</f>
        <v>0</v>
      </c>
    </row>
    <row r="62" spans="1:6" x14ac:dyDescent="0.25">
      <c r="A62" s="2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/>
  </sheetViews>
  <sheetFormatPr defaultRowHeight="15" x14ac:dyDescent="0.25"/>
  <cols>
    <col min="1" max="1" width="38" customWidth="1"/>
    <col min="2" max="5" width="22" customWidth="1"/>
  </cols>
  <sheetData>
    <row r="1" spans="1:2" ht="18" x14ac:dyDescent="0.25">
      <c r="A1" s="1" t="s">
        <v>61</v>
      </c>
    </row>
    <row r="2" spans="1:2" x14ac:dyDescent="0.25">
      <c r="A2" s="2" t="s">
        <v>62</v>
      </c>
    </row>
    <row r="4" spans="1:2" x14ac:dyDescent="0.25">
      <c r="A4" s="19" t="s">
        <v>63</v>
      </c>
    </row>
    <row r="5" spans="1:2" x14ac:dyDescent="0.25">
      <c r="A5" s="6" t="s">
        <v>64</v>
      </c>
      <c r="B5" s="20">
        <v>100000</v>
      </c>
    </row>
    <row r="6" spans="1:2" x14ac:dyDescent="0.25">
      <c r="A6" s="6" t="s">
        <v>65</v>
      </c>
      <c r="B6" s="20">
        <v>2</v>
      </c>
    </row>
    <row r="7" spans="1:2" x14ac:dyDescent="0.25">
      <c r="A7" s="6" t="s">
        <v>66</v>
      </c>
      <c r="B7" s="20">
        <v>20000</v>
      </c>
    </row>
    <row r="8" spans="1:2" x14ac:dyDescent="0.25">
      <c r="A8" s="6" t="s">
        <v>67</v>
      </c>
      <c r="B8" s="20">
        <v>20000</v>
      </c>
    </row>
    <row r="9" spans="1:2" x14ac:dyDescent="0.25">
      <c r="A9" s="6" t="s">
        <v>68</v>
      </c>
      <c r="B9" s="21">
        <v>1</v>
      </c>
    </row>
    <row r="10" spans="1:2" x14ac:dyDescent="0.25">
      <c r="A10" s="6" t="s">
        <v>69</v>
      </c>
      <c r="B10" s="20">
        <v>1000</v>
      </c>
    </row>
    <row r="11" spans="1:2" x14ac:dyDescent="0.25">
      <c r="A11" s="6" t="s">
        <v>70</v>
      </c>
      <c r="B11" s="20">
        <v>10000</v>
      </c>
    </row>
    <row r="12" spans="1:2" x14ac:dyDescent="0.25">
      <c r="A12" s="6" t="s">
        <v>71</v>
      </c>
      <c r="B12" s="20">
        <v>10000</v>
      </c>
    </row>
    <row r="13" spans="1:2" x14ac:dyDescent="0.25">
      <c r="A13" s="6" t="s">
        <v>72</v>
      </c>
      <c r="B13" s="22">
        <v>0.05</v>
      </c>
    </row>
    <row r="14" spans="1:2" x14ac:dyDescent="0.25">
      <c r="A14" s="6" t="s">
        <v>73</v>
      </c>
      <c r="B14" s="22">
        <v>0.1</v>
      </c>
    </row>
    <row r="15" spans="1:2" x14ac:dyDescent="0.25">
      <c r="A15" s="6" t="s">
        <v>74</v>
      </c>
      <c r="B15" s="22">
        <v>0.1</v>
      </c>
    </row>
    <row r="16" spans="1:2" x14ac:dyDescent="0.25">
      <c r="A16" s="6" t="s">
        <v>75</v>
      </c>
      <c r="B16" s="23">
        <v>8</v>
      </c>
    </row>
    <row r="19" spans="1:5" x14ac:dyDescent="0.25">
      <c r="A19" s="19" t="s">
        <v>76</v>
      </c>
    </row>
    <row r="20" spans="1:5" x14ac:dyDescent="0.25">
      <c r="A20" s="24" t="s">
        <v>77</v>
      </c>
      <c r="B20" s="24" t="s">
        <v>78</v>
      </c>
      <c r="C20" s="24" t="s">
        <v>79</v>
      </c>
      <c r="D20" s="24" t="s">
        <v>80</v>
      </c>
    </row>
    <row r="21" spans="1:5" x14ac:dyDescent="0.25">
      <c r="A21" s="25" t="s">
        <v>81</v>
      </c>
      <c r="B21" s="26">
        <v>1</v>
      </c>
      <c r="C21" s="27">
        <v>0.3</v>
      </c>
      <c r="D21" s="28">
        <v>12000</v>
      </c>
    </row>
    <row r="22" spans="1:5" x14ac:dyDescent="0.25">
      <c r="A22" s="25" t="s">
        <v>82</v>
      </c>
      <c r="B22" s="26">
        <v>1</v>
      </c>
      <c r="C22" s="27">
        <v>0.4</v>
      </c>
      <c r="D22" s="28">
        <v>10000</v>
      </c>
    </row>
    <row r="23" spans="1:5" x14ac:dyDescent="0.25">
      <c r="A23" s="25" t="s">
        <v>83</v>
      </c>
      <c r="B23" s="26">
        <v>1</v>
      </c>
      <c r="C23" s="27">
        <v>0.3</v>
      </c>
      <c r="D23" s="28">
        <v>12000</v>
      </c>
    </row>
    <row r="24" spans="1:5" x14ac:dyDescent="0.25">
      <c r="A24" s="25" t="s">
        <v>9</v>
      </c>
      <c r="B24" s="26">
        <v>1</v>
      </c>
      <c r="C24" s="27">
        <v>0.1</v>
      </c>
      <c r="D24" s="28">
        <v>17000</v>
      </c>
    </row>
    <row r="25" spans="1:5" x14ac:dyDescent="0.25">
      <c r="A25" s="25" t="s">
        <v>84</v>
      </c>
      <c r="B25" s="26">
        <v>2</v>
      </c>
      <c r="C25" s="27">
        <v>0.2</v>
      </c>
      <c r="D25" s="28">
        <v>15000</v>
      </c>
    </row>
    <row r="26" spans="1:5" x14ac:dyDescent="0.25">
      <c r="A26" s="25" t="s">
        <v>85</v>
      </c>
      <c r="B26" s="26">
        <v>3</v>
      </c>
      <c r="C26" s="27">
        <v>0.2</v>
      </c>
      <c r="D26" s="28">
        <v>16000</v>
      </c>
    </row>
    <row r="29" spans="1:5" x14ac:dyDescent="0.25">
      <c r="A29" s="19" t="s">
        <v>86</v>
      </c>
    </row>
    <row r="30" spans="1:5" x14ac:dyDescent="0.25">
      <c r="A30" s="24" t="s">
        <v>87</v>
      </c>
      <c r="B30" s="24" t="s">
        <v>88</v>
      </c>
      <c r="C30" s="24" t="s">
        <v>89</v>
      </c>
      <c r="D30" s="24" t="s">
        <v>90</v>
      </c>
      <c r="E30" s="24" t="s">
        <v>91</v>
      </c>
    </row>
    <row r="31" spans="1:5" x14ac:dyDescent="0.25">
      <c r="A31" s="25" t="s">
        <v>92</v>
      </c>
      <c r="B31" s="28">
        <v>72000</v>
      </c>
      <c r="C31" s="28">
        <v>35000</v>
      </c>
      <c r="D31" s="28">
        <v>1800</v>
      </c>
      <c r="E31" s="28">
        <v>4375</v>
      </c>
    </row>
    <row r="32" spans="1:5" x14ac:dyDescent="0.25">
      <c r="A32" s="25" t="s">
        <v>93</v>
      </c>
      <c r="B32" s="28">
        <v>120000</v>
      </c>
      <c r="C32" s="28">
        <v>95000</v>
      </c>
      <c r="D32" s="28">
        <v>2900</v>
      </c>
      <c r="E32" s="28">
        <v>11875</v>
      </c>
    </row>
    <row r="33" spans="1:5" x14ac:dyDescent="0.25">
      <c r="A33" s="25" t="s">
        <v>94</v>
      </c>
      <c r="B33" s="28">
        <v>68000</v>
      </c>
      <c r="C33" s="28">
        <v>38000</v>
      </c>
      <c r="D33" s="28">
        <v>2100</v>
      </c>
      <c r="E33" s="28">
        <v>4750</v>
      </c>
    </row>
    <row r="34" spans="1:5" x14ac:dyDescent="0.25">
      <c r="A34" s="25" t="s">
        <v>95</v>
      </c>
      <c r="B34" s="28">
        <v>95000</v>
      </c>
      <c r="C34" s="28">
        <v>70000</v>
      </c>
      <c r="D34" s="28">
        <v>2900</v>
      </c>
      <c r="E34" s="28">
        <v>8750</v>
      </c>
    </row>
    <row r="35" spans="1:5" x14ac:dyDescent="0.25">
      <c r="A35" s="25" t="s">
        <v>96</v>
      </c>
      <c r="B35" s="28">
        <v>45000</v>
      </c>
      <c r="C35" s="28">
        <v>28000</v>
      </c>
      <c r="D35" s="28">
        <v>1300</v>
      </c>
      <c r="E35" s="28">
        <v>3500</v>
      </c>
    </row>
    <row r="36" spans="1:5" x14ac:dyDescent="0.25">
      <c r="A36" s="25" t="s">
        <v>97</v>
      </c>
      <c r="B36" s="28">
        <v>110000</v>
      </c>
      <c r="C36" s="28">
        <v>90000</v>
      </c>
      <c r="D36" s="28">
        <v>2900</v>
      </c>
      <c r="E36" s="28">
        <v>11250</v>
      </c>
    </row>
    <row r="38" spans="1:5" x14ac:dyDescent="0.25">
      <c r="A38" s="19" t="s">
        <v>98</v>
      </c>
    </row>
    <row r="39" spans="1:5" x14ac:dyDescent="0.25">
      <c r="A39" s="24" t="s">
        <v>99</v>
      </c>
      <c r="B39" s="24" t="s">
        <v>100</v>
      </c>
      <c r="C39" s="24" t="s">
        <v>101</v>
      </c>
      <c r="D39" s="24" t="s">
        <v>102</v>
      </c>
    </row>
    <row r="40" spans="1:5" x14ac:dyDescent="0.25">
      <c r="A40" s="25" t="s">
        <v>2</v>
      </c>
      <c r="B40" s="28">
        <v>280000</v>
      </c>
      <c r="C40" s="28">
        <v>410000</v>
      </c>
      <c r="D40" s="28">
        <v>540000</v>
      </c>
    </row>
    <row r="41" spans="1:5" x14ac:dyDescent="0.25">
      <c r="A41" s="25" t="s">
        <v>3</v>
      </c>
      <c r="B41" s="28">
        <v>360000</v>
      </c>
      <c r="C41" s="28">
        <v>550000</v>
      </c>
      <c r="D41" s="28">
        <v>750000</v>
      </c>
    </row>
    <row r="42" spans="1:5" x14ac:dyDescent="0.25">
      <c r="A42" s="25" t="s">
        <v>4</v>
      </c>
      <c r="B42" s="28">
        <v>400000</v>
      </c>
      <c r="C42" s="28">
        <v>650000</v>
      </c>
      <c r="D42" s="28">
        <v>900000</v>
      </c>
    </row>
    <row r="43" spans="1:5" x14ac:dyDescent="0.25">
      <c r="A43" s="25" t="s">
        <v>5</v>
      </c>
      <c r="B43" s="28">
        <v>320000</v>
      </c>
      <c r="C43" s="28">
        <v>470000</v>
      </c>
      <c r="D43" s="28">
        <v>620000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workbookViewId="0"/>
  </sheetViews>
  <sheetFormatPr defaultRowHeight="15" x14ac:dyDescent="0.25"/>
  <cols>
    <col min="1" max="1" width="5" customWidth="1"/>
    <col min="2" max="2" width="10" customWidth="1"/>
    <col min="3" max="3" width="14" customWidth="1"/>
    <col min="4" max="24" width="13" customWidth="1"/>
  </cols>
  <sheetData>
    <row r="1" spans="1:23" ht="18" x14ac:dyDescent="0.25">
      <c r="A1" s="1" t="s">
        <v>103</v>
      </c>
    </row>
    <row r="2" spans="1:23" x14ac:dyDescent="0.25">
      <c r="A2" s="2" t="s">
        <v>104</v>
      </c>
    </row>
    <row r="4" spans="1:23" ht="38.25" x14ac:dyDescent="0.25">
      <c r="A4" s="29" t="s">
        <v>105</v>
      </c>
      <c r="B4" s="29" t="s">
        <v>106</v>
      </c>
      <c r="C4" s="29" t="s">
        <v>107</v>
      </c>
      <c r="D4" s="29" t="s">
        <v>108</v>
      </c>
      <c r="E4" s="29" t="s">
        <v>109</v>
      </c>
      <c r="F4" s="29" t="s">
        <v>110</v>
      </c>
      <c r="G4" s="29" t="s">
        <v>111</v>
      </c>
      <c r="H4" s="29" t="s">
        <v>112</v>
      </c>
      <c r="I4" s="29" t="s">
        <v>113</v>
      </c>
      <c r="J4" s="29" t="s">
        <v>114</v>
      </c>
      <c r="K4" s="29" t="s">
        <v>115</v>
      </c>
      <c r="L4" s="24" t="s">
        <v>116</v>
      </c>
      <c r="M4" s="24" t="s">
        <v>117</v>
      </c>
      <c r="N4" s="24" t="s">
        <v>118</v>
      </c>
      <c r="O4" s="24" t="s">
        <v>119</v>
      </c>
      <c r="P4" s="24" t="s">
        <v>120</v>
      </c>
      <c r="Q4" s="24" t="s">
        <v>121</v>
      </c>
      <c r="R4" s="24" t="s">
        <v>122</v>
      </c>
      <c r="S4" s="24" t="s">
        <v>123</v>
      </c>
      <c r="T4" s="29" t="s">
        <v>124</v>
      </c>
      <c r="U4" s="29" t="s">
        <v>125</v>
      </c>
      <c r="V4" s="29" t="s">
        <v>126</v>
      </c>
      <c r="W4" s="29" t="s">
        <v>127</v>
      </c>
    </row>
    <row r="5" spans="1:23" x14ac:dyDescent="0.25">
      <c r="A5" s="6">
        <v>1</v>
      </c>
      <c r="B5" s="30" t="s">
        <v>92</v>
      </c>
      <c r="C5" s="30">
        <v>1</v>
      </c>
      <c r="D5" s="10">
        <f>IFERROR(INDEX(Rules!$C$31:$C$36,MATCH($B5,Rules!$A$31:$A$36,0)),0)</f>
        <v>35000</v>
      </c>
      <c r="E5" s="10">
        <f>IFERROR(INDEX(Rules!$B$31:$B$36,MATCH($B5,Rules!$A$31:$A$36,0)),0)</f>
        <v>72000</v>
      </c>
      <c r="F5" s="10">
        <f>IFERROR(INDEX(Rules!$D$31:$D$36,MATCH($B5,Rules!$A$31:$A$36,0)),0)</f>
        <v>1800</v>
      </c>
      <c r="G5" s="10">
        <f>IFERROR(INDEX(Rules!$E$31:$E$36,MATCH($B5,Rules!$A$31:$A$36,0)),0)</f>
        <v>4375</v>
      </c>
      <c r="H5" s="31">
        <f t="shared" ref="H5:H10" si="0">IF(AND($B5&lt;&gt;"",$C5&lt;&gt;"",$C5&lt;=1),1,0)</f>
        <v>1</v>
      </c>
      <c r="I5" s="31">
        <f t="shared" ref="I5:I10" si="1">IF(AND($B5&lt;&gt;"",$C5&lt;&gt;"",$C5&lt;=2),1,0)</f>
        <v>1</v>
      </c>
      <c r="J5" s="31">
        <f t="shared" ref="J5:J10" si="2">IF(AND($B5&lt;&gt;"",$C5&lt;&gt;"",$C5&lt;=3),1,0)</f>
        <v>1</v>
      </c>
      <c r="K5" s="31">
        <f t="shared" ref="K5:K10" si="3">IF(AND($B5&lt;&gt;"",$C5&lt;&gt;"",$C5&lt;=4),1,0)</f>
        <v>1</v>
      </c>
      <c r="L5" s="13">
        <f t="shared" ref="L5:O10" si="4">H5*$F5</f>
        <v>1800</v>
      </c>
      <c r="M5" s="13">
        <f t="shared" si="4"/>
        <v>1800</v>
      </c>
      <c r="N5" s="13">
        <f t="shared" si="4"/>
        <v>1800</v>
      </c>
      <c r="O5" s="13">
        <f t="shared" si="4"/>
        <v>1800</v>
      </c>
      <c r="P5" s="13">
        <f>IF(AND(H5=1,1-$C5+1&lt;=Rules!$B$16),$G5,0)</f>
        <v>4375</v>
      </c>
      <c r="Q5" s="13">
        <f>IF(AND(I5=1,2-$C5+1&lt;=Rules!$B$16),$G5,0)</f>
        <v>4375</v>
      </c>
      <c r="R5" s="13">
        <f>IF(AND(J5=1,3-$C5+1&lt;=Rules!$B$16),$G5,0)</f>
        <v>4375</v>
      </c>
      <c r="S5" s="13">
        <f>IF(AND(K5=1,4-$C5+1&lt;=Rules!$B$16),$G5,0)</f>
        <v>4375</v>
      </c>
      <c r="T5" s="31">
        <f>IF(H5=1,MAX(Rules!$B$16-(1-$C5+1),0),"")</f>
        <v>7</v>
      </c>
      <c r="U5" s="31">
        <f>IF(I5=1,MAX(Rules!$B$16-(2-$C5+1),0),"")</f>
        <v>6</v>
      </c>
      <c r="V5" s="31">
        <f>IF(J5=1,MAX(Rules!$B$16-(3-$C5+1),0),"")</f>
        <v>5</v>
      </c>
      <c r="W5" s="31">
        <f>IF(K5=1,MAX(Rules!$B$16-(4-$C5+1),0),"")</f>
        <v>4</v>
      </c>
    </row>
    <row r="6" spans="1:23" x14ac:dyDescent="0.25">
      <c r="A6" s="6">
        <v>2</v>
      </c>
      <c r="B6" s="30"/>
      <c r="C6" s="30"/>
      <c r="D6" s="10">
        <f>IFERROR(INDEX(Rules!$C$31:$C$36,MATCH($B6,Rules!$A$31:$A$36,0)),0)</f>
        <v>0</v>
      </c>
      <c r="E6" s="10">
        <f>IFERROR(INDEX(Rules!$B$31:$B$36,MATCH($B6,Rules!$A$31:$A$36,0)),0)</f>
        <v>0</v>
      </c>
      <c r="F6" s="10">
        <f>IFERROR(INDEX(Rules!$D$31:$D$36,MATCH($B6,Rules!$A$31:$A$36,0)),0)</f>
        <v>0</v>
      </c>
      <c r="G6" s="10">
        <f>IFERROR(INDEX(Rules!$E$31:$E$36,MATCH($B6,Rules!$A$31:$A$36,0)),0)</f>
        <v>0</v>
      </c>
      <c r="H6" s="31">
        <f t="shared" si="0"/>
        <v>0</v>
      </c>
      <c r="I6" s="31">
        <f t="shared" si="1"/>
        <v>0</v>
      </c>
      <c r="J6" s="31">
        <f t="shared" si="2"/>
        <v>0</v>
      </c>
      <c r="K6" s="31">
        <f t="shared" si="3"/>
        <v>0</v>
      </c>
      <c r="L6" s="13">
        <f t="shared" si="4"/>
        <v>0</v>
      </c>
      <c r="M6" s="13">
        <f t="shared" si="4"/>
        <v>0</v>
      </c>
      <c r="N6" s="13">
        <f t="shared" si="4"/>
        <v>0</v>
      </c>
      <c r="O6" s="13">
        <f t="shared" si="4"/>
        <v>0</v>
      </c>
      <c r="P6" s="13">
        <f>IF(AND(H6=1,1-$C6+1&lt;=Rules!$B$16),$G6,0)</f>
        <v>0</v>
      </c>
      <c r="Q6" s="13">
        <f>IF(AND(I6=1,2-$C6+1&lt;=Rules!$B$16),$G6,0)</f>
        <v>0</v>
      </c>
      <c r="R6" s="13">
        <f>IF(AND(J6=1,3-$C6+1&lt;=Rules!$B$16),$G6,0)</f>
        <v>0</v>
      </c>
      <c r="S6" s="13">
        <f>IF(AND(K6=1,4-$C6+1&lt;=Rules!$B$16),$G6,0)</f>
        <v>0</v>
      </c>
      <c r="T6" s="31" t="str">
        <f>IF(H6=1,MAX(Rules!$B$16-(1-$C6+1),0),"")</f>
        <v/>
      </c>
      <c r="U6" s="31" t="str">
        <f>IF(I6=1,MAX(Rules!$B$16-(2-$C6+1),0),"")</f>
        <v/>
      </c>
      <c r="V6" s="31" t="str">
        <f>IF(J6=1,MAX(Rules!$B$16-(3-$C6+1),0),"")</f>
        <v/>
      </c>
      <c r="W6" s="31" t="str">
        <f>IF(K6=1,MAX(Rules!$B$16-(4-$C6+1),0),"")</f>
        <v/>
      </c>
    </row>
    <row r="7" spans="1:23" x14ac:dyDescent="0.25">
      <c r="A7" s="6">
        <v>3</v>
      </c>
      <c r="B7" s="30"/>
      <c r="C7" s="30"/>
      <c r="D7" s="10">
        <f>IFERROR(INDEX(Rules!$C$31:$C$36,MATCH($B7,Rules!$A$31:$A$36,0)),0)</f>
        <v>0</v>
      </c>
      <c r="E7" s="10">
        <f>IFERROR(INDEX(Rules!$B$31:$B$36,MATCH($B7,Rules!$A$31:$A$36,0)),0)</f>
        <v>0</v>
      </c>
      <c r="F7" s="10">
        <f>IFERROR(INDEX(Rules!$D$31:$D$36,MATCH($B7,Rules!$A$31:$A$36,0)),0)</f>
        <v>0</v>
      </c>
      <c r="G7" s="10">
        <f>IFERROR(INDEX(Rules!$E$31:$E$36,MATCH($B7,Rules!$A$31:$A$36,0)),0)</f>
        <v>0</v>
      </c>
      <c r="H7" s="31">
        <f t="shared" si="0"/>
        <v>0</v>
      </c>
      <c r="I7" s="31">
        <f t="shared" si="1"/>
        <v>0</v>
      </c>
      <c r="J7" s="31">
        <f t="shared" si="2"/>
        <v>0</v>
      </c>
      <c r="K7" s="31">
        <f t="shared" si="3"/>
        <v>0</v>
      </c>
      <c r="L7" s="13">
        <f t="shared" si="4"/>
        <v>0</v>
      </c>
      <c r="M7" s="13">
        <f t="shared" si="4"/>
        <v>0</v>
      </c>
      <c r="N7" s="13">
        <f t="shared" si="4"/>
        <v>0</v>
      </c>
      <c r="O7" s="13">
        <f t="shared" si="4"/>
        <v>0</v>
      </c>
      <c r="P7" s="13">
        <f>IF(AND(H7=1,1-$C7+1&lt;=Rules!$B$16),$G7,0)</f>
        <v>0</v>
      </c>
      <c r="Q7" s="13">
        <f>IF(AND(I7=1,2-$C7+1&lt;=Rules!$B$16),$G7,0)</f>
        <v>0</v>
      </c>
      <c r="R7" s="13">
        <f>IF(AND(J7=1,3-$C7+1&lt;=Rules!$B$16),$G7,0)</f>
        <v>0</v>
      </c>
      <c r="S7" s="13">
        <f>IF(AND(K7=1,4-$C7+1&lt;=Rules!$B$16),$G7,0)</f>
        <v>0</v>
      </c>
      <c r="T7" s="31" t="str">
        <f>IF(H7=1,MAX(Rules!$B$16-(1-$C7+1),0),"")</f>
        <v/>
      </c>
      <c r="U7" s="31" t="str">
        <f>IF(I7=1,MAX(Rules!$B$16-(2-$C7+1),0),"")</f>
        <v/>
      </c>
      <c r="V7" s="31" t="str">
        <f>IF(J7=1,MAX(Rules!$B$16-(3-$C7+1),0),"")</f>
        <v/>
      </c>
      <c r="W7" s="31" t="str">
        <f>IF(K7=1,MAX(Rules!$B$16-(4-$C7+1),0),"")</f>
        <v/>
      </c>
    </row>
    <row r="8" spans="1:23" x14ac:dyDescent="0.25">
      <c r="A8" s="6">
        <v>4</v>
      </c>
      <c r="B8" s="30"/>
      <c r="C8" s="30"/>
      <c r="D8" s="10">
        <f>IFERROR(INDEX(Rules!$C$31:$C$36,MATCH($B8,Rules!$A$31:$A$36,0)),0)</f>
        <v>0</v>
      </c>
      <c r="E8" s="10">
        <f>IFERROR(INDEX(Rules!$B$31:$B$36,MATCH($B8,Rules!$A$31:$A$36,0)),0)</f>
        <v>0</v>
      </c>
      <c r="F8" s="10">
        <f>IFERROR(INDEX(Rules!$D$31:$D$36,MATCH($B8,Rules!$A$31:$A$36,0)),0)</f>
        <v>0</v>
      </c>
      <c r="G8" s="10">
        <f>IFERROR(INDEX(Rules!$E$31:$E$36,MATCH($B8,Rules!$A$31:$A$36,0)),0)</f>
        <v>0</v>
      </c>
      <c r="H8" s="31">
        <f t="shared" si="0"/>
        <v>0</v>
      </c>
      <c r="I8" s="31">
        <f t="shared" si="1"/>
        <v>0</v>
      </c>
      <c r="J8" s="31">
        <f t="shared" si="2"/>
        <v>0</v>
      </c>
      <c r="K8" s="31">
        <f t="shared" si="3"/>
        <v>0</v>
      </c>
      <c r="L8" s="13">
        <f t="shared" si="4"/>
        <v>0</v>
      </c>
      <c r="M8" s="13">
        <f t="shared" si="4"/>
        <v>0</v>
      </c>
      <c r="N8" s="13">
        <f t="shared" si="4"/>
        <v>0</v>
      </c>
      <c r="O8" s="13">
        <f t="shared" si="4"/>
        <v>0</v>
      </c>
      <c r="P8" s="13">
        <f>IF(AND(H8=1,1-$C8+1&lt;=Rules!$B$16),$G8,0)</f>
        <v>0</v>
      </c>
      <c r="Q8" s="13">
        <f>IF(AND(I8=1,2-$C8+1&lt;=Rules!$B$16),$G8,0)</f>
        <v>0</v>
      </c>
      <c r="R8" s="13">
        <f>IF(AND(J8=1,3-$C8+1&lt;=Rules!$B$16),$G8,0)</f>
        <v>0</v>
      </c>
      <c r="S8" s="13">
        <f>IF(AND(K8=1,4-$C8+1&lt;=Rules!$B$16),$G8,0)</f>
        <v>0</v>
      </c>
      <c r="T8" s="31" t="str">
        <f>IF(H8=1,MAX(Rules!$B$16-(1-$C8+1),0),"")</f>
        <v/>
      </c>
      <c r="U8" s="31" t="str">
        <f>IF(I8=1,MAX(Rules!$B$16-(2-$C8+1),0),"")</f>
        <v/>
      </c>
      <c r="V8" s="31" t="str">
        <f>IF(J8=1,MAX(Rules!$B$16-(3-$C8+1),0),"")</f>
        <v/>
      </c>
      <c r="W8" s="31" t="str">
        <f>IF(K8=1,MAX(Rules!$B$16-(4-$C8+1),0),"")</f>
        <v/>
      </c>
    </row>
    <row r="9" spans="1:23" x14ac:dyDescent="0.25">
      <c r="A9" s="6">
        <v>5</v>
      </c>
      <c r="B9" s="30"/>
      <c r="C9" s="30"/>
      <c r="D9" s="10">
        <f>IFERROR(INDEX(Rules!$C$31:$C$36,MATCH($B9,Rules!$A$31:$A$36,0)),0)</f>
        <v>0</v>
      </c>
      <c r="E9" s="10">
        <f>IFERROR(INDEX(Rules!$B$31:$B$36,MATCH($B9,Rules!$A$31:$A$36,0)),0)</f>
        <v>0</v>
      </c>
      <c r="F9" s="10">
        <f>IFERROR(INDEX(Rules!$D$31:$D$36,MATCH($B9,Rules!$A$31:$A$36,0)),0)</f>
        <v>0</v>
      </c>
      <c r="G9" s="10">
        <f>IFERROR(INDEX(Rules!$E$31:$E$36,MATCH($B9,Rules!$A$31:$A$36,0)),0)</f>
        <v>0</v>
      </c>
      <c r="H9" s="31">
        <f t="shared" si="0"/>
        <v>0</v>
      </c>
      <c r="I9" s="31">
        <f t="shared" si="1"/>
        <v>0</v>
      </c>
      <c r="J9" s="31">
        <f t="shared" si="2"/>
        <v>0</v>
      </c>
      <c r="K9" s="31">
        <f t="shared" si="3"/>
        <v>0</v>
      </c>
      <c r="L9" s="13">
        <f t="shared" si="4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>IF(AND(H9=1,1-$C9+1&lt;=Rules!$B$16),$G9,0)</f>
        <v>0</v>
      </c>
      <c r="Q9" s="13">
        <f>IF(AND(I9=1,2-$C9+1&lt;=Rules!$B$16),$G9,0)</f>
        <v>0</v>
      </c>
      <c r="R9" s="13">
        <f>IF(AND(J9=1,3-$C9+1&lt;=Rules!$B$16),$G9,0)</f>
        <v>0</v>
      </c>
      <c r="S9" s="13">
        <f>IF(AND(K9=1,4-$C9+1&lt;=Rules!$B$16),$G9,0)</f>
        <v>0</v>
      </c>
      <c r="T9" s="31" t="str">
        <f>IF(H9=1,MAX(Rules!$B$16-(1-$C9+1),0),"")</f>
        <v/>
      </c>
      <c r="U9" s="31" t="str">
        <f>IF(I9=1,MAX(Rules!$B$16-(2-$C9+1),0),"")</f>
        <v/>
      </c>
      <c r="V9" s="31" t="str">
        <f>IF(J9=1,MAX(Rules!$B$16-(3-$C9+1),0),"")</f>
        <v/>
      </c>
      <c r="W9" s="31" t="str">
        <f>IF(K9=1,MAX(Rules!$B$16-(4-$C9+1),0),"")</f>
        <v/>
      </c>
    </row>
    <row r="10" spans="1:23" x14ac:dyDescent="0.25">
      <c r="A10" s="6">
        <v>6</v>
      </c>
      <c r="B10" s="30"/>
      <c r="C10" s="30"/>
      <c r="D10" s="10">
        <f>IFERROR(INDEX(Rules!$C$31:$C$36,MATCH($B10,Rules!$A$31:$A$36,0)),0)</f>
        <v>0</v>
      </c>
      <c r="E10" s="10">
        <f>IFERROR(INDEX(Rules!$B$31:$B$36,MATCH($B10,Rules!$A$31:$A$36,0)),0)</f>
        <v>0</v>
      </c>
      <c r="F10" s="10">
        <f>IFERROR(INDEX(Rules!$D$31:$D$36,MATCH($B10,Rules!$A$31:$A$36,0)),0)</f>
        <v>0</v>
      </c>
      <c r="G10" s="10">
        <f>IFERROR(INDEX(Rules!$E$31:$E$36,MATCH($B10,Rules!$A$31:$A$36,0)),0)</f>
        <v>0</v>
      </c>
      <c r="H10" s="31">
        <f t="shared" si="0"/>
        <v>0</v>
      </c>
      <c r="I10" s="31">
        <f t="shared" si="1"/>
        <v>0</v>
      </c>
      <c r="J10" s="31">
        <f t="shared" si="2"/>
        <v>0</v>
      </c>
      <c r="K10" s="31">
        <f t="shared" si="3"/>
        <v>0</v>
      </c>
      <c r="L10" s="13">
        <f t="shared" si="4"/>
        <v>0</v>
      </c>
      <c r="M10" s="13">
        <f t="shared" si="4"/>
        <v>0</v>
      </c>
      <c r="N10" s="13">
        <f t="shared" si="4"/>
        <v>0</v>
      </c>
      <c r="O10" s="13">
        <f t="shared" si="4"/>
        <v>0</v>
      </c>
      <c r="P10" s="13">
        <f>IF(AND(H10=1,1-$C10+1&lt;=Rules!$B$16),$G10,0)</f>
        <v>0</v>
      </c>
      <c r="Q10" s="13">
        <f>IF(AND(I10=1,2-$C10+1&lt;=Rules!$B$16),$G10,0)</f>
        <v>0</v>
      </c>
      <c r="R10" s="13">
        <f>IF(AND(J10=1,3-$C10+1&lt;=Rules!$B$16),$G10,0)</f>
        <v>0</v>
      </c>
      <c r="S10" s="13">
        <f>IF(AND(K10=1,4-$C10+1&lt;=Rules!$B$16),$G10,0)</f>
        <v>0</v>
      </c>
      <c r="T10" s="31" t="str">
        <f>IF(H10=1,MAX(Rules!$B$16-(1-$C10+1),0),"")</f>
        <v/>
      </c>
      <c r="U10" s="31" t="str">
        <f>IF(I10=1,MAX(Rules!$B$16-(2-$C10+1),0),"")</f>
        <v/>
      </c>
      <c r="V10" s="31" t="str">
        <f>IF(J10=1,MAX(Rules!$B$16-(3-$C10+1),0),"")</f>
        <v/>
      </c>
      <c r="W10" s="31" t="str">
        <f>IF(K10=1,MAX(Rules!$B$16-(4-$C10+1),0),"")</f>
        <v/>
      </c>
    </row>
    <row r="11" spans="1:23" x14ac:dyDescent="0.25">
      <c r="A11" s="14" t="s">
        <v>128</v>
      </c>
      <c r="L11" s="32">
        <f t="shared" ref="L11:S11" si="5">SUM(L5:L10)</f>
        <v>1800</v>
      </c>
      <c r="M11" s="32">
        <f t="shared" si="5"/>
        <v>1800</v>
      </c>
      <c r="N11" s="32">
        <f t="shared" si="5"/>
        <v>1800</v>
      </c>
      <c r="O11" s="32">
        <f t="shared" si="5"/>
        <v>1800</v>
      </c>
      <c r="P11" s="32">
        <f t="shared" si="5"/>
        <v>4375</v>
      </c>
      <c r="Q11" s="32">
        <f t="shared" si="5"/>
        <v>4375</v>
      </c>
      <c r="R11" s="32">
        <f t="shared" si="5"/>
        <v>4375</v>
      </c>
      <c r="S11" s="32">
        <f t="shared" si="5"/>
        <v>4375</v>
      </c>
    </row>
    <row r="13" spans="1:23" x14ac:dyDescent="0.25">
      <c r="A13" s="2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workbookViewId="0"/>
  </sheetViews>
  <sheetFormatPr defaultRowHeight="15" x14ac:dyDescent="0.25"/>
  <cols>
    <col min="1" max="1" width="30" customWidth="1"/>
    <col min="2" max="6" width="15" customWidth="1"/>
  </cols>
  <sheetData>
    <row r="1" spans="1:6" ht="18" x14ac:dyDescent="0.25">
      <c r="A1" s="1" t="s">
        <v>130</v>
      </c>
    </row>
    <row r="2" spans="1:6" x14ac:dyDescent="0.25">
      <c r="A2" s="2" t="s">
        <v>131</v>
      </c>
    </row>
    <row r="4" spans="1:6" x14ac:dyDescent="0.25">
      <c r="A4" s="19" t="s">
        <v>132</v>
      </c>
    </row>
    <row r="5" spans="1:6" x14ac:dyDescent="0.25">
      <c r="A5" s="6" t="s">
        <v>133</v>
      </c>
      <c r="B5" s="8">
        <v>50000</v>
      </c>
      <c r="C5" s="6" t="s">
        <v>134</v>
      </c>
      <c r="D5" s="30">
        <v>8</v>
      </c>
      <c r="E5" s="6" t="s">
        <v>135</v>
      </c>
      <c r="F5" s="30">
        <v>1</v>
      </c>
    </row>
    <row r="6" spans="1:6" x14ac:dyDescent="0.25">
      <c r="B6" s="24" t="s">
        <v>2</v>
      </c>
      <c r="C6" s="24" t="s">
        <v>3</v>
      </c>
      <c r="D6" s="24" t="s">
        <v>4</v>
      </c>
      <c r="E6" s="24" t="s">
        <v>5</v>
      </c>
    </row>
    <row r="7" spans="1:6" x14ac:dyDescent="0.25">
      <c r="A7" s="6" t="s">
        <v>136</v>
      </c>
      <c r="B7" s="13">
        <f>IF($B$5="",0,IF($F$5=1,$B$5,0))</f>
        <v>50000</v>
      </c>
      <c r="C7" s="13">
        <f>IF($B$5="",0,IF($F$5=2,$B$5,B11))</f>
        <v>43750</v>
      </c>
      <c r="D7" s="13">
        <f>IF($B$5="",0,IF($F$5=3,$B$5,C11))</f>
        <v>37500</v>
      </c>
      <c r="E7" s="13">
        <f>IF($B$5="",0,IF($F$5=4,$B$5,D11))</f>
        <v>31250</v>
      </c>
    </row>
    <row r="8" spans="1:6" x14ac:dyDescent="0.25">
      <c r="A8" s="6" t="s">
        <v>137</v>
      </c>
      <c r="B8" s="13">
        <f>ROUND(B7*Rules!$B$15,0)</f>
        <v>5000</v>
      </c>
      <c r="C8" s="13">
        <f>ROUND(C7*Rules!$B$15,0)</f>
        <v>4375</v>
      </c>
      <c r="D8" s="13">
        <f>ROUND(D7*Rules!$B$15,0)</f>
        <v>3750</v>
      </c>
      <c r="E8" s="13">
        <f>ROUND(E7*Rules!$B$15,0)</f>
        <v>3125</v>
      </c>
    </row>
    <row r="9" spans="1:6" x14ac:dyDescent="0.25">
      <c r="A9" s="6" t="s">
        <v>138</v>
      </c>
      <c r="B9" s="13">
        <f>IF(OR($B$5="",$D$5="",B7=0),0,MIN(ROUND($B$5/$D$5,0),B7))</f>
        <v>6250</v>
      </c>
      <c r="C9" s="13">
        <f>IF(OR($B$5="",$D$5="",C7=0),0,MIN(ROUND($B$5/$D$5,0),C7))</f>
        <v>6250</v>
      </c>
      <c r="D9" s="13">
        <f>IF(OR($B$5="",$D$5="",D7=0),0,MIN(ROUND($B$5/$D$5,0),D7))</f>
        <v>6250</v>
      </c>
      <c r="E9" s="13">
        <f>IF(OR($B$5="",$D$5="",E7=0),0,MIN(ROUND($B$5/$D$5,0),E7))</f>
        <v>6250</v>
      </c>
    </row>
    <row r="10" spans="1:6" x14ac:dyDescent="0.25">
      <c r="A10" s="6" t="s">
        <v>139</v>
      </c>
      <c r="B10" s="11">
        <f>B8+B9</f>
        <v>11250</v>
      </c>
      <c r="C10" s="11">
        <f>C8+C9</f>
        <v>10625</v>
      </c>
      <c r="D10" s="11">
        <f>D8+D9</f>
        <v>10000</v>
      </c>
      <c r="E10" s="11">
        <f>E8+E9</f>
        <v>9375</v>
      </c>
    </row>
    <row r="11" spans="1:6" x14ac:dyDescent="0.25">
      <c r="A11" s="6" t="s">
        <v>140</v>
      </c>
      <c r="B11" s="13">
        <f>B7-B9</f>
        <v>43750</v>
      </c>
      <c r="C11" s="13">
        <f>C7-C9</f>
        <v>37500</v>
      </c>
      <c r="D11" s="13">
        <f>D7-D9</f>
        <v>31250</v>
      </c>
      <c r="E11" s="13">
        <f>E7-E9</f>
        <v>25000</v>
      </c>
    </row>
    <row r="14" spans="1:6" x14ac:dyDescent="0.25">
      <c r="A14" s="19" t="s">
        <v>141</v>
      </c>
    </row>
    <row r="15" spans="1:6" x14ac:dyDescent="0.25">
      <c r="A15" s="6" t="s">
        <v>133</v>
      </c>
      <c r="B15" s="8"/>
      <c r="C15" s="6" t="s">
        <v>134</v>
      </c>
      <c r="D15" s="30"/>
      <c r="E15" s="6" t="s">
        <v>135</v>
      </c>
      <c r="F15" s="30"/>
    </row>
    <row r="16" spans="1:6" x14ac:dyDescent="0.25">
      <c r="B16" s="24" t="s">
        <v>2</v>
      </c>
      <c r="C16" s="24" t="s">
        <v>3</v>
      </c>
      <c r="D16" s="24" t="s">
        <v>4</v>
      </c>
      <c r="E16" s="24" t="s">
        <v>5</v>
      </c>
    </row>
    <row r="17" spans="1:6" x14ac:dyDescent="0.25">
      <c r="A17" s="6" t="s">
        <v>136</v>
      </c>
      <c r="B17" s="13">
        <f>IF($B$15="",0,IF($F$15=1,$B$15,0))</f>
        <v>0</v>
      </c>
      <c r="C17" s="13">
        <f>IF($B$15="",0,IF($F$15=2,$B$15,B21))</f>
        <v>0</v>
      </c>
      <c r="D17" s="13">
        <f>IF($B$15="",0,IF($F$15=3,$B$15,C21))</f>
        <v>0</v>
      </c>
      <c r="E17" s="13">
        <f>IF($B$15="",0,IF($F$15=4,$B$15,D21))</f>
        <v>0</v>
      </c>
    </row>
    <row r="18" spans="1:6" x14ac:dyDescent="0.25">
      <c r="A18" s="6" t="s">
        <v>137</v>
      </c>
      <c r="B18" s="13">
        <f>ROUND(B17*Rules!$B$15,0)</f>
        <v>0</v>
      </c>
      <c r="C18" s="13">
        <f>ROUND(C17*Rules!$B$15,0)</f>
        <v>0</v>
      </c>
      <c r="D18" s="13">
        <f>ROUND(D17*Rules!$B$15,0)</f>
        <v>0</v>
      </c>
      <c r="E18" s="13">
        <f>ROUND(E17*Rules!$B$15,0)</f>
        <v>0</v>
      </c>
    </row>
    <row r="19" spans="1:6" x14ac:dyDescent="0.25">
      <c r="A19" s="6" t="s">
        <v>138</v>
      </c>
      <c r="B19" s="13">
        <f>IF(OR($B$15="",$D$15="",B17=0),0,MIN(ROUND($B$15/$D$15,0),B17))</f>
        <v>0</v>
      </c>
      <c r="C19" s="13">
        <f>IF(OR($B$15="",$D$15="",C17=0),0,MIN(ROUND($B$15/$D$15,0),C17))</f>
        <v>0</v>
      </c>
      <c r="D19" s="13">
        <f>IF(OR($B$15="",$D$15="",D17=0),0,MIN(ROUND($B$15/$D$15,0),D17))</f>
        <v>0</v>
      </c>
      <c r="E19" s="13">
        <f>IF(OR($B$15="",$D$15="",E17=0),0,MIN(ROUND($B$15/$D$15,0),E17))</f>
        <v>0</v>
      </c>
    </row>
    <row r="20" spans="1:6" x14ac:dyDescent="0.25">
      <c r="A20" s="6" t="s">
        <v>139</v>
      </c>
      <c r="B20" s="11">
        <f>B18+B19</f>
        <v>0</v>
      </c>
      <c r="C20" s="11">
        <f>C18+C19</f>
        <v>0</v>
      </c>
      <c r="D20" s="11">
        <f>D18+D19</f>
        <v>0</v>
      </c>
      <c r="E20" s="11">
        <f>E18+E19</f>
        <v>0</v>
      </c>
    </row>
    <row r="21" spans="1:6" x14ac:dyDescent="0.25">
      <c r="A21" s="6" t="s">
        <v>140</v>
      </c>
      <c r="B21" s="13">
        <f>B17-B19</f>
        <v>0</v>
      </c>
      <c r="C21" s="13">
        <f>C17-C19</f>
        <v>0</v>
      </c>
      <c r="D21" s="13">
        <f>D17-D19</f>
        <v>0</v>
      </c>
      <c r="E21" s="13">
        <f>E17-E19</f>
        <v>0</v>
      </c>
    </row>
    <row r="24" spans="1:6" x14ac:dyDescent="0.25">
      <c r="A24" s="19" t="s">
        <v>142</v>
      </c>
    </row>
    <row r="25" spans="1:6" x14ac:dyDescent="0.25">
      <c r="A25" s="6" t="s">
        <v>133</v>
      </c>
      <c r="B25" s="8"/>
      <c r="C25" s="6" t="s">
        <v>134</v>
      </c>
      <c r="D25" s="30"/>
      <c r="E25" s="6" t="s">
        <v>135</v>
      </c>
      <c r="F25" s="30"/>
    </row>
    <row r="26" spans="1:6" x14ac:dyDescent="0.25">
      <c r="B26" s="24" t="s">
        <v>2</v>
      </c>
      <c r="C26" s="24" t="s">
        <v>3</v>
      </c>
      <c r="D26" s="24" t="s">
        <v>4</v>
      </c>
      <c r="E26" s="24" t="s">
        <v>5</v>
      </c>
    </row>
    <row r="27" spans="1:6" x14ac:dyDescent="0.25">
      <c r="A27" s="6" t="s">
        <v>136</v>
      </c>
      <c r="B27" s="13">
        <f>IF($B$25="",0,IF($F$25=1,$B$25,0))</f>
        <v>0</v>
      </c>
      <c r="C27" s="13">
        <f>IF($B$25="",0,IF($F$25=2,$B$25,B31))</f>
        <v>0</v>
      </c>
      <c r="D27" s="13">
        <f>IF($B$25="",0,IF($F$25=3,$B$25,C31))</f>
        <v>0</v>
      </c>
      <c r="E27" s="13">
        <f>IF($B$25="",0,IF($F$25=4,$B$25,D31))</f>
        <v>0</v>
      </c>
    </row>
    <row r="28" spans="1:6" x14ac:dyDescent="0.25">
      <c r="A28" s="6" t="s">
        <v>137</v>
      </c>
      <c r="B28" s="13">
        <f>ROUND(B27*Rules!$B$15,0)</f>
        <v>0</v>
      </c>
      <c r="C28" s="13">
        <f>ROUND(C27*Rules!$B$15,0)</f>
        <v>0</v>
      </c>
      <c r="D28" s="13">
        <f>ROUND(D27*Rules!$B$15,0)</f>
        <v>0</v>
      </c>
      <c r="E28" s="13">
        <f>ROUND(E27*Rules!$B$15,0)</f>
        <v>0</v>
      </c>
    </row>
    <row r="29" spans="1:6" x14ac:dyDescent="0.25">
      <c r="A29" s="6" t="s">
        <v>138</v>
      </c>
      <c r="B29" s="13">
        <f>IF(OR($B$25="",$D$25="",B27=0),0,MIN(ROUND($B$25/$D$25,0),B27))</f>
        <v>0</v>
      </c>
      <c r="C29" s="13">
        <f>IF(OR($B$25="",$D$25="",C27=0),0,MIN(ROUND($B$25/$D$25,0),C27))</f>
        <v>0</v>
      </c>
      <c r="D29" s="13">
        <f>IF(OR($B$25="",$D$25="",D27=0),0,MIN(ROUND($B$25/$D$25,0),D27))</f>
        <v>0</v>
      </c>
      <c r="E29" s="13">
        <f>IF(OR($B$25="",$D$25="",E27=0),0,MIN(ROUND($B$25/$D$25,0),E27))</f>
        <v>0</v>
      </c>
    </row>
    <row r="30" spans="1:6" x14ac:dyDescent="0.25">
      <c r="A30" s="6" t="s">
        <v>139</v>
      </c>
      <c r="B30" s="11">
        <f>B28+B29</f>
        <v>0</v>
      </c>
      <c r="C30" s="11">
        <f>C28+C29</f>
        <v>0</v>
      </c>
      <c r="D30" s="11">
        <f>D28+D29</f>
        <v>0</v>
      </c>
      <c r="E30" s="11">
        <f>E28+E29</f>
        <v>0</v>
      </c>
    </row>
    <row r="31" spans="1:6" x14ac:dyDescent="0.25">
      <c r="A31" s="6" t="s">
        <v>140</v>
      </c>
      <c r="B31" s="13">
        <f>B27-B29</f>
        <v>0</v>
      </c>
      <c r="C31" s="13">
        <f>C27-C29</f>
        <v>0</v>
      </c>
      <c r="D31" s="13">
        <f>D27-D29</f>
        <v>0</v>
      </c>
      <c r="E31" s="13">
        <f>E27-E29</f>
        <v>0</v>
      </c>
    </row>
    <row r="34" spans="1:5" x14ac:dyDescent="0.25">
      <c r="A34" s="14" t="s">
        <v>143</v>
      </c>
      <c r="B34" s="32">
        <f>B8+B18+B28</f>
        <v>5000</v>
      </c>
      <c r="C34" s="32">
        <f>C8+C18+C28</f>
        <v>4375</v>
      </c>
      <c r="D34" s="32">
        <f>D8+D18+D28</f>
        <v>3750</v>
      </c>
      <c r="E34" s="32">
        <f>E8+E18+E28</f>
        <v>3125</v>
      </c>
    </row>
    <row r="35" spans="1:5" x14ac:dyDescent="0.25">
      <c r="A35" s="14" t="s">
        <v>144</v>
      </c>
      <c r="B35" s="32">
        <f>B10+B20+B30</f>
        <v>11250</v>
      </c>
      <c r="C35" s="32">
        <f>C10+C20+C30</f>
        <v>10625</v>
      </c>
      <c r="D35" s="32">
        <f>D10+D20+D30</f>
        <v>10000</v>
      </c>
      <c r="E35" s="32">
        <f>E10+E20+E30</f>
        <v>9375</v>
      </c>
    </row>
    <row r="36" spans="1:5" x14ac:dyDescent="0.25">
      <c r="A36" s="14" t="s">
        <v>145</v>
      </c>
      <c r="B36" s="32">
        <f>B35-B34</f>
        <v>6250</v>
      </c>
      <c r="C36" s="32">
        <f>C35-C34</f>
        <v>6250</v>
      </c>
      <c r="D36" s="32">
        <f>D35-D34</f>
        <v>6250</v>
      </c>
      <c r="E36" s="32">
        <f>E35-E34</f>
        <v>6250</v>
      </c>
    </row>
    <row r="38" spans="1:5" x14ac:dyDescent="0.25">
      <c r="A38" s="33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 1</vt:lpstr>
      <vt:lpstr>Rules</vt:lpstr>
      <vt:lpstr>Machines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Aleksejs Pjavka</cp:lastModifiedBy>
  <dcterms:created xsi:type="dcterms:W3CDTF">2026-09-17T11:26:42Z</dcterms:created>
  <dcterms:modified xsi:type="dcterms:W3CDTF">2026-09-17T11:27:31Z</dcterms:modified>
</cp:coreProperties>
</file>